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avi\Presentacion viernes DANFOSS\public\"/>
    </mc:Choice>
  </mc:AlternateContent>
  <xr:revisionPtr revIDLastSave="0" documentId="13_ncr:1_{37CA3EBB-F7B2-4CBC-ADC6-C32151BEA926}" xr6:coauthVersionLast="47" xr6:coauthVersionMax="47" xr10:uidLastSave="{00000000-0000-0000-0000-000000000000}"/>
  <bookViews>
    <workbookView xWindow="20370" yWindow="-120" windowWidth="29040" windowHeight="15720" activeTab="1" xr2:uid="{823E0998-AB7B-4500-85CB-60F3A35F6C74}"/>
  </bookViews>
  <sheets>
    <sheet name="FORMATO DE EVALUACION" sheetId="4" r:id="rId1"/>
    <sheet name="Compromisos" sheetId="5" r:id="rId2"/>
    <sheet name="Bajas" sheetId="6" r:id="rId3"/>
    <sheet name="Ausentismos" sheetId="7" r:id="rId4"/>
    <sheet name="RESULTADOS" sheetId="1" r:id="rId5"/>
  </sheets>
  <definedNames>
    <definedName name="_xlnm._FilterDatabase" localSheetId="4" hidden="1">RESULTADOS!$A$2:$H$25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H26" i="1"/>
  <c r="G17" i="1" l="1"/>
  <c r="G16" i="1"/>
  <c r="G15" i="1"/>
  <c r="G14" i="1"/>
  <c r="G22" i="1" l="1"/>
  <c r="G19" i="1"/>
  <c r="G18" i="1"/>
  <c r="G23" i="1"/>
  <c r="G7" i="1"/>
  <c r="G13" i="1"/>
  <c r="G10" i="1"/>
  <c r="G20" i="1"/>
  <c r="G5" i="1"/>
  <c r="G11" i="1"/>
  <c r="G9" i="1"/>
  <c r="C10" i="1"/>
  <c r="H24" i="1"/>
  <c r="H25" i="1"/>
  <c r="F23" i="1"/>
  <c r="C23" i="1"/>
  <c r="E22" i="1"/>
  <c r="E21" i="1"/>
  <c r="F20" i="1"/>
  <c r="C20" i="1"/>
  <c r="B19" i="1"/>
  <c r="E19" i="1"/>
  <c r="E17" i="1"/>
  <c r="E16" i="1"/>
  <c r="E15" i="1"/>
  <c r="F15" i="1"/>
  <c r="E12" i="1"/>
  <c r="D12" i="1"/>
  <c r="F12" i="1"/>
  <c r="B11" i="1"/>
  <c r="C11" i="1"/>
  <c r="B10" i="1"/>
  <c r="B9" i="1"/>
  <c r="C9" i="1"/>
  <c r="E9" i="1"/>
  <c r="B8" i="1"/>
  <c r="E8" i="1"/>
  <c r="C8" i="1"/>
  <c r="C7" i="1"/>
  <c r="F7" i="1"/>
  <c r="E6" i="1"/>
  <c r="C5" i="1"/>
  <c r="D5" i="1"/>
  <c r="F5" i="1"/>
  <c r="F4" i="1"/>
  <c r="D4" i="1"/>
  <c r="D6" i="1"/>
  <c r="E4" i="1"/>
  <c r="D14" i="1"/>
  <c r="E3" i="1"/>
  <c r="E5" i="1"/>
  <c r="F8" i="1"/>
  <c r="D8" i="1"/>
  <c r="H8" i="1" l="1"/>
  <c r="B5" i="1" l="1"/>
  <c r="H5" i="1" s="1"/>
  <c r="C12" i="1"/>
  <c r="C13" i="1"/>
  <c r="C18" i="1"/>
  <c r="C17" i="1"/>
  <c r="C4" i="1"/>
  <c r="C15" i="1"/>
  <c r="C14" i="1"/>
  <c r="C19" i="1"/>
  <c r="C6" i="1"/>
  <c r="C22" i="1"/>
  <c r="C3" i="1"/>
  <c r="C21" i="1"/>
  <c r="C16" i="1"/>
  <c r="B3" i="1"/>
  <c r="B17" i="1"/>
  <c r="B20" i="1"/>
  <c r="B6" i="1"/>
  <c r="B4" i="1"/>
  <c r="B7" i="1"/>
  <c r="B18" i="1"/>
  <c r="B15" i="1"/>
  <c r="B22" i="1"/>
  <c r="B23" i="1"/>
  <c r="B16" i="1"/>
  <c r="B13" i="1"/>
  <c r="B12" i="1"/>
  <c r="H12" i="1" s="1"/>
  <c r="B21" i="1"/>
  <c r="B14" i="1"/>
  <c r="F13" i="1"/>
  <c r="F22" i="1"/>
  <c r="F3" i="1"/>
  <c r="F9" i="1"/>
  <c r="F16" i="1"/>
  <c r="F21" i="1"/>
  <c r="F17" i="1"/>
  <c r="F19" i="1"/>
  <c r="F14" i="1"/>
  <c r="F11" i="1"/>
  <c r="F10" i="1"/>
  <c r="F18" i="1"/>
  <c r="D20" i="1"/>
  <c r="D10" i="1"/>
  <c r="D13" i="1"/>
  <c r="D23" i="1"/>
  <c r="D18" i="1"/>
  <c r="D7" i="1"/>
  <c r="D11" i="1"/>
  <c r="H11" i="1" s="1"/>
  <c r="D16" i="1"/>
  <c r="D9" i="1"/>
  <c r="D22" i="1"/>
  <c r="D15" i="1"/>
  <c r="D3" i="1"/>
  <c r="D19" i="1"/>
  <c r="D17" i="1"/>
  <c r="D21" i="1"/>
  <c r="E14" i="1"/>
  <c r="E7" i="1"/>
  <c r="E13" i="1"/>
  <c r="E18" i="1"/>
  <c r="E23" i="1"/>
  <c r="E10" i="1"/>
  <c r="E11" i="1"/>
  <c r="E20" i="1"/>
  <c r="A24" i="4"/>
  <c r="H10" i="1" l="1"/>
  <c r="H22" i="1"/>
  <c r="H4" i="1"/>
  <c r="H15" i="1"/>
  <c r="H23" i="1"/>
  <c r="H19" i="1"/>
  <c r="H18" i="1"/>
  <c r="H7" i="1"/>
  <c r="H14" i="1"/>
  <c r="H20" i="1"/>
  <c r="H21" i="1"/>
  <c r="H17" i="1"/>
  <c r="H3" i="1"/>
  <c r="H9" i="1"/>
  <c r="H13" i="1"/>
  <c r="H16" i="1"/>
  <c r="F6" i="1"/>
  <c r="H6" i="1" s="1"/>
</calcChain>
</file>

<file path=xl/sharedStrings.xml><?xml version="1.0" encoding="utf-8"?>
<sst xmlns="http://schemas.openxmlformats.org/spreadsheetml/2006/main" count="310" uniqueCount="200">
  <si>
    <t>SHRINER CABRERA JOSE PAULO</t>
  </si>
  <si>
    <t>DAVILA LOPEZ ADRIANA</t>
  </si>
  <si>
    <t>RODRIGUEZ ELIZONDO MARCO ANTONIO</t>
  </si>
  <si>
    <t>CARDENAS DE LA CRUZ ALBI DE JESUS</t>
  </si>
  <si>
    <t>ARMENDARIZ FLORES JOSE ROBERTO</t>
  </si>
  <si>
    <t>SIERRA CONDE JOHAN DAVID</t>
  </si>
  <si>
    <t>LINARES AMBROCIO VIRGILIO</t>
  </si>
  <si>
    <t>PEREZ RAMIREZ JOSE ANTONIO</t>
  </si>
  <si>
    <t>GUERRERO CONTRERAS FRANCISCO FELIPE</t>
  </si>
  <si>
    <t>COTERO RODRIGUEZ MARIA CRISTINA</t>
  </si>
  <si>
    <t>HERNANDEZ MARIN PABLO</t>
  </si>
  <si>
    <t>LOPEZ FLORES CARLOS</t>
  </si>
  <si>
    <t>SAENZ BAUTISTA VICTOR INOCENCIO</t>
  </si>
  <si>
    <t>CULEBRO HERNANDEZ CESAR EDUARDO</t>
  </si>
  <si>
    <t>GOMEZ JIMENEZ DANIEL ENRIQUE</t>
  </si>
  <si>
    <t>CARDONA MOLINA VICENTE</t>
  </si>
  <si>
    <t>SANTOS GONZALEZ RODRIGO ALBERTO</t>
  </si>
  <si>
    <t>RUIZ GARCIA RODOLFO</t>
  </si>
  <si>
    <t>CASTRO ANTONIO ANGEL LUIS</t>
  </si>
  <si>
    <t>TELLEZ GARCIA CLARA ANGELICA</t>
  </si>
  <si>
    <t>ROQUE ALLENDE DAVID</t>
  </si>
  <si>
    <t>CABALLERO ALBORES ISAAC</t>
  </si>
  <si>
    <t>CARLOS SANTIAGO ANGEL IVAN</t>
  </si>
  <si>
    <t>BLANCO GONZALEZ VLAETEMIR</t>
  </si>
  <si>
    <t>CEJA TELLEZ CESAR YAMIL</t>
  </si>
  <si>
    <t>CORTEZ PUENTE OMAR AARON</t>
  </si>
  <si>
    <t>PEREZ SANTOS CRISTIAN</t>
  </si>
  <si>
    <t>OFICIALES EVALUADOS</t>
  </si>
  <si>
    <t>DESEMPEÑO</t>
  </si>
  <si>
    <t>TS</t>
  </si>
  <si>
    <t>EVALUACION 360</t>
  </si>
  <si>
    <t>El jefe de turno, jefe de servicio o supervisor evaluará el desempeño de los oficiales de acuerdo al siguiente criterio de evaluación:</t>
  </si>
  <si>
    <r>
      <rPr>
        <b/>
        <sz val="19.5"/>
        <color theme="1"/>
        <rFont val="Calibri"/>
        <family val="2"/>
        <scheme val="minor"/>
      </rPr>
      <t xml:space="preserve">          1: Deficiente.</t>
    </r>
    <r>
      <rPr>
        <sz val="19.5"/>
        <color theme="1"/>
        <rFont val="Calibri"/>
        <family val="2"/>
        <scheme val="minor"/>
      </rPr>
      <t xml:space="preserve"> No cumple con los requisitos mínimos.  
</t>
    </r>
    <r>
      <rPr>
        <b/>
        <sz val="19.5"/>
        <color theme="1"/>
        <rFont val="Calibri"/>
        <family val="2"/>
        <scheme val="minor"/>
      </rPr>
      <t xml:space="preserve">          2: Bajo.</t>
    </r>
    <r>
      <rPr>
        <sz val="19.5"/>
        <color theme="1"/>
        <rFont val="Calibri"/>
        <family val="2"/>
        <scheme val="minor"/>
      </rPr>
      <t xml:space="preserve"> Cumple parcialmente, requiere mejoras significativas. 
</t>
    </r>
    <r>
      <rPr>
        <b/>
        <sz val="19.5"/>
        <color theme="1"/>
        <rFont val="Calibri"/>
        <family val="2"/>
        <scheme val="minor"/>
      </rPr>
      <t xml:space="preserve">          3: Medio.</t>
    </r>
    <r>
      <rPr>
        <sz val="19.5"/>
        <color theme="1"/>
        <rFont val="Calibri"/>
        <family val="2"/>
        <scheme val="minor"/>
      </rPr>
      <t xml:space="preserve"> Cumple con lo básico esperado. 
</t>
    </r>
    <r>
      <rPr>
        <b/>
        <sz val="19.5"/>
        <color theme="1"/>
        <rFont val="Calibri"/>
        <family val="2"/>
        <scheme val="minor"/>
      </rPr>
      <t xml:space="preserve">          4: Alto.</t>
    </r>
    <r>
      <rPr>
        <sz val="19.5"/>
        <color theme="1"/>
        <rFont val="Calibri"/>
        <family val="2"/>
        <scheme val="minor"/>
      </rPr>
      <t xml:space="preserve"> Supera lo básico, demostrando buen desempeño.
</t>
    </r>
    <r>
      <rPr>
        <b/>
        <sz val="19.5"/>
        <color theme="1"/>
        <rFont val="Calibri"/>
        <family val="2"/>
        <scheme val="minor"/>
      </rPr>
      <t xml:space="preserve">          5: Excelente.</t>
    </r>
    <r>
      <rPr>
        <sz val="19.5"/>
        <color theme="1"/>
        <rFont val="Calibri"/>
        <family val="2"/>
        <scheme val="minor"/>
      </rPr>
      <t xml:space="preserve"> Desempeño superior. </t>
    </r>
  </si>
  <si>
    <t xml:space="preserve">Instrucciones. Coloca en la casilla de evaluación el numero que corresponda de acuerdo al nivel de desempeño del elemento evaluado. </t>
  </si>
  <si>
    <t>Responsabilidades</t>
  </si>
  <si>
    <t>Evaluación</t>
  </si>
  <si>
    <t>Cumplimiento de Consignas.</t>
  </si>
  <si>
    <t>Manejo de Herramientas de Trabajo.</t>
  </si>
  <si>
    <t>Desempeño en funciones.</t>
  </si>
  <si>
    <t>Conocimientos de procesos y protocolos de seguridad.</t>
  </si>
  <si>
    <t xml:space="preserve">Uso correcto del uniforme. </t>
  </si>
  <si>
    <t>Comunicación</t>
  </si>
  <si>
    <t xml:space="preserve">Comparte información de manera clara y asertiva. </t>
  </si>
  <si>
    <t>Expresa sus ideas con claridad.</t>
  </si>
  <si>
    <t xml:space="preserve">Escucha y ejecuta de manera correcta las indicaciones. </t>
  </si>
  <si>
    <t>Trabajo en equipo</t>
  </si>
  <si>
    <t>Se desempeña como un miembro activo del equipo.</t>
  </si>
  <si>
    <t xml:space="preserve">Comparte sus conocimiento, habilidades y experiencia. </t>
  </si>
  <si>
    <t>Resolución de problemas</t>
  </si>
  <si>
    <t xml:space="preserve">Se enfoca en los asuntos clave para solucionar el problema. </t>
  </si>
  <si>
    <t>Conserva la calma en situaciones complicadas.</t>
  </si>
  <si>
    <t>Mejora continua</t>
  </si>
  <si>
    <t>Se adapta a trabajar con nuevos procesos o tareas.</t>
  </si>
  <si>
    <t>Se esfuerza por innovar y aportar ideas.</t>
  </si>
  <si>
    <t xml:space="preserve">Busca reforzar sus habilidades y trabajar en sus áreas de oportunidad. </t>
  </si>
  <si>
    <t>Enfoque al cliente</t>
  </si>
  <si>
    <t>Entiende las necesidades del cliente.</t>
  </si>
  <si>
    <t>Busca nuevas maneras de brindar valor agregado al cliente.</t>
  </si>
  <si>
    <t xml:space="preserve">Procura la satisfacción del cliente al brindar un servicio de excelencia. </t>
  </si>
  <si>
    <t xml:space="preserve">Es percibido por el cliente como una persona confiable que representa la empresa. </t>
  </si>
  <si>
    <t xml:space="preserve">Comentarios: </t>
  </si>
  <si>
    <t>MAX</t>
  </si>
  <si>
    <t>Nombre y firma del evaluador.</t>
  </si>
  <si>
    <t xml:space="preserve">Nombre del evaluado:  </t>
  </si>
  <si>
    <t xml:space="preserve">Fecha: </t>
  </si>
  <si>
    <t>DE LA CRUZ PEREZ GASPAR</t>
  </si>
  <si>
    <t>EXCELENTE</t>
  </si>
  <si>
    <t>ALTO</t>
  </si>
  <si>
    <t>MEDIO</t>
  </si>
  <si>
    <t>BAJO</t>
  </si>
  <si>
    <t>DEFICIENTE</t>
  </si>
  <si>
    <t>NOMENCLATURA</t>
  </si>
  <si>
    <t>˃4.5</t>
  </si>
  <si>
    <r>
      <t>1.5</t>
    </r>
    <r>
      <rPr>
        <sz val="11"/>
        <color theme="1"/>
        <rFont val="Calibri"/>
        <family val="2"/>
      </rPr>
      <t>˂</t>
    </r>
  </si>
  <si>
    <t>˃3.5</t>
  </si>
  <si>
    <t>˃2.5</t>
  </si>
  <si>
    <t>˃1.5</t>
  </si>
  <si>
    <t>ROMO PIÑA ERIKA CELESTE</t>
  </si>
  <si>
    <t>SERVICIO</t>
  </si>
  <si>
    <t>PLANTILLA</t>
  </si>
  <si>
    <t>NUMERO DE VACANTES</t>
  </si>
  <si>
    <t>FECHA COMPROMISO</t>
  </si>
  <si>
    <t>CUMPLIMIENTO</t>
  </si>
  <si>
    <t>COMENTARIOS</t>
  </si>
  <si>
    <t>DANFOSS</t>
  </si>
  <si>
    <t>CONTRATACIONES</t>
  </si>
  <si>
    <t>3 ALTAS / 2 BAJAS</t>
  </si>
  <si>
    <t>2 ALTAS</t>
  </si>
  <si>
    <t>1 ALTA</t>
  </si>
  <si>
    <t>2 BAJAS / 1 ALTA</t>
  </si>
  <si>
    <t>NO DE EMPLEADO</t>
  </si>
  <si>
    <t>NOMBRE</t>
  </si>
  <si>
    <t>POSICION</t>
  </si>
  <si>
    <t>INGRESO</t>
  </si>
  <si>
    <t>FECHA DE BAJA</t>
  </si>
  <si>
    <t>FECHA DE RENUNCIA</t>
  </si>
  <si>
    <t>ULTIMO DIA LABORADO</t>
  </si>
  <si>
    <t>MOTIVO DE SEPARACION</t>
  </si>
  <si>
    <t>FECHA</t>
  </si>
  <si>
    <t>TURNO</t>
  </si>
  <si>
    <t>ASUNTO</t>
  </si>
  <si>
    <t>DESCRIPCION</t>
  </si>
  <si>
    <t>COMPROMISO</t>
  </si>
  <si>
    <t>CIERRE</t>
  </si>
  <si>
    <t>ENCARGADO</t>
  </si>
  <si>
    <t>OLGA LIDIA MARTINEZ VAZQUEZ</t>
  </si>
  <si>
    <t>OFICIAL</t>
  </si>
  <si>
    <t>RAMIREZ CRUZ ALVARO</t>
  </si>
  <si>
    <t>OFICIAL DE SEGURIDAD</t>
  </si>
  <si>
    <t>N/A</t>
  </si>
  <si>
    <t>ABANDONO DE TRABAJO / FALTAS ACUMULADAS, NO SE PRESENTA A RENUNCIAR.</t>
  </si>
  <si>
    <t>VELAZCO ACOSTA MARTIN MANUEL</t>
  </si>
  <si>
    <t>CUESTIONES PERSONALES / REGRESA A TABASCO</t>
  </si>
  <si>
    <t>SALAMA ESCRIBANO RODRIGO</t>
  </si>
  <si>
    <t>JEFE DE TURNO</t>
  </si>
  <si>
    <t>ABANDONO DE TRABAJO / FALTAS ACUMULADAS, NO SE PRESNTO A RENUNCIAR.</t>
  </si>
  <si>
    <t>PEÑALOZA CRUZ NESTOR MIGUEL</t>
  </si>
  <si>
    <t>ABANDONO DE TRABAJO / FALTAS A CUMULADAS, NO SE PRESENTO A RENUNCIAR</t>
  </si>
  <si>
    <t>LANDERO HERNANDEZ RICARDO</t>
  </si>
  <si>
    <t>ABANDONO DE TRABAJO / FALTAS ACUMULADAS, NO SE PRESENTO A RENUNCIAR</t>
  </si>
  <si>
    <t>ESPINOSA SIMON QUEREN ALIBETH</t>
  </si>
  <si>
    <t>SHAW ROQUE JOSE CARLOS</t>
  </si>
  <si>
    <t>PROBLEMAS DE SALUD / SE SIENTE MAL DE LA PRESION LE AFECTA LA ALTURA DE NUEVO LEON</t>
  </si>
  <si>
    <t>PROBLEMAS DE SALUD</t>
  </si>
  <si>
    <t>GAMBOA SANTIAGO FRANCISCO ARMANDO</t>
  </si>
  <si>
    <t>CLIMA LABORAL / SE PRESENTA EN OFICINA A FIRMAR RENUNCIA MENCIONA INCONFORMIDAD EN EL SERVICIO POR EL TRATO POR PARTE DE MARCO RDZ Y EDER RDZ, COMENTA SE BURLAN DE LAS PERSONAS Y DE CADA OFICIAL, APARTE HAY FAVORITISMOS Y EDER RDZ APOYA A MARCO, EN BASE A ESTO BUSCO OTRO TRABAJO POR MESES Y EL DÍA 20/04/2026 INICIA E OTRA EMPRESA COMO TRAILERO.</t>
  </si>
  <si>
    <t>LUGO VARGAS DANIEL ALEJANDRO</t>
  </si>
  <si>
    <t>CUESTIONES PERSONALES / PROBLEMA LEGAL CON LA FAMILIA, VA A SU LUGAR DE ORIGEN, NO TIENE FECHA DE REGRESO.</t>
  </si>
  <si>
    <t>RODRIGUEZ CRUZ MARCO ANTONIO</t>
  </si>
  <si>
    <t>CASTILLO ZAMORA JUAN DANIEL</t>
  </si>
  <si>
    <t>MONITORISTA</t>
  </si>
  <si>
    <t>GOMEZ CORDOVA LUIS ALBERTO</t>
  </si>
  <si>
    <t>CONDICIONES DE TRABAJO / CITO EN CONCILIACION, POR HOSTIGAMIENTO LABORAL</t>
  </si>
  <si>
    <t>MARTINEZ VAZQUEZ OLGA LIDIA</t>
  </si>
  <si>
    <t>CONDICIONES DE TRABAJO / FALTAS ACUMULADAS, NO SE PRESENTA A RENUNCIAR. ESTUVO EN UNA AREA SOLEADA Y SE ENFERMO.</t>
  </si>
  <si>
    <t>DIA</t>
  </si>
  <si>
    <t>FALTA</t>
  </si>
  <si>
    <t>se realiza llamada y envia mensaje</t>
  </si>
  <si>
    <t>ella descanso 30 de abril y 1 de mayo</t>
  </si>
  <si>
    <t>revisar con centro de control la validacion de datos</t>
  </si>
  <si>
    <t>MARTHA GZZ</t>
  </si>
  <si>
    <t>FRANCISCO FELIPE GUERRERO CONTRERAS</t>
  </si>
  <si>
    <t>el descanso viernes y sabado</t>
  </si>
  <si>
    <t>NOCHE</t>
  </si>
  <si>
    <t>LUIS MANUEL ALPUCHE PALMA</t>
  </si>
  <si>
    <t>PROBLEMAS PERSONALES</t>
  </si>
  <si>
    <t>Comenta que tiene un tema legal sobre su finiquito de su trabajo anterior, por lo que no pudo asistir pues tuvo una cita.</t>
  </si>
  <si>
    <t>Se le busca en la casa tactical para darle investigación pero no se encuentra; se seguirá investigando.</t>
  </si>
  <si>
    <t>Ver con operaciones citarlo</t>
  </si>
  <si>
    <t>CRISTOPHER S.</t>
  </si>
  <si>
    <t>Se encuentra en proceso de acudir al IMSS por consulta, comenta que no le dan la consulta.</t>
  </si>
  <si>
    <t>Se le está dando seguimiento.</t>
  </si>
  <si>
    <t>Pendiente.</t>
  </si>
  <si>
    <t>ISAAC CABALLERO ALBORES</t>
  </si>
  <si>
    <t>Acude a consultar por un dolor de muela.</t>
  </si>
  <si>
    <t>Pendiente combprobante.</t>
  </si>
  <si>
    <t>Regresa a laborar con normalidad. Probablemente acuda de nuevo.</t>
  </si>
  <si>
    <t>ANGEL LUIS CASTRO ANTONIO</t>
  </si>
  <si>
    <t>Comenta que se despertó con gripa y mucha tos.</t>
  </si>
  <si>
    <t>Se le solicita que acuda al IMSS para esas consultas, de lo contrario se hará efectivo el semáforo de sanciones.</t>
  </si>
  <si>
    <t>Regresa a laborar con normalidad.</t>
  </si>
  <si>
    <t>Comenta que acudió al dentista por el dolor de muelda que tiene.</t>
  </si>
  <si>
    <t>Se le invita a acudir al IMSS.</t>
  </si>
  <si>
    <t>VICENTE CARDONA MOLIDA</t>
  </si>
  <si>
    <t>NO CONTACTADO</t>
  </si>
  <si>
    <t>Se le marca en repetidas ocasiones; su contacto de emergencia no responde.</t>
  </si>
  <si>
    <t>Revisar el tema con operaciones y Jefatura RH pues tiene ya 3 faltas injustificadas.</t>
  </si>
  <si>
    <t>JORGE LUIS ALPUCHE LOPEZ</t>
  </si>
  <si>
    <t>Comenta que él descansó el día sábado 16 de mayo.</t>
  </si>
  <si>
    <t>Seguimiento.</t>
  </si>
  <si>
    <t>CRISTIAN PEREZ SANTOS</t>
  </si>
  <si>
    <t>Comenta que tuvo un fuerte malestar estomacal. Se le pide comprobante.</t>
  </si>
  <si>
    <t>En espera de comprobante. Se le comenta el semáforo de sanciones para futuras ocasiones.</t>
  </si>
  <si>
    <t>JOSE PAULO SHRINER CABRERA</t>
  </si>
  <si>
    <t>Comenta que se sentía mal, con nauseas vómito, cuerpo cortado.</t>
  </si>
  <si>
    <t>Pendiente comprobante. Comenta que está dispuesto a recuperarlo con un descanso.</t>
  </si>
  <si>
    <t>JOHAN DAVID SIERRA CONDE</t>
  </si>
  <si>
    <t>FALTA INJUSTIFICADA</t>
  </si>
  <si>
    <t>no se localiza aun</t>
  </si>
  <si>
    <t>le comento al js que se enfermo pero no envio comprobante medico</t>
  </si>
  <si>
    <t>se presento a seguir laborando</t>
  </si>
  <si>
    <t>CESAR YAMIL CEJA TELLEZ</t>
  </si>
  <si>
    <t>se envia mensaje de wa</t>
  </si>
  <si>
    <t>comenta que se enfermo de la garganta y no podia ni hablar</t>
  </si>
  <si>
    <t>menciona que aviso y no fue a consulta</t>
  </si>
  <si>
    <t>Comenta que se sentía mal por unas cuestiones de presión alta y no pudo asistir.</t>
  </si>
  <si>
    <t>Se le solicita comprobante; pendiente.</t>
  </si>
  <si>
    <t>Pendiente de comprobante; no responde si regresará a laborar.</t>
  </si>
  <si>
    <t>Comenta que seguía sintiéndose mal por el dolor estomacal; se automedica.</t>
  </si>
  <si>
    <t>Se le invita a acudir al IMSS, aunado a eso se le recuerda el semáforo de sanciones. Revisar con Jefe RH aplicar sanciones correspondientes.</t>
  </si>
  <si>
    <t>DANIEL ENRIQUE GOMEZ JIMENEZ</t>
  </si>
  <si>
    <t>PROBLEMAS FAMILIARES</t>
  </si>
  <si>
    <t>comenta que junto sus descansos y salio de la ciudad por un asunto familiar pero no alcanzo a llegar para su turno</t>
  </si>
  <si>
    <t>hablo con el js y se presenta a la laborar el dia 21/05</t>
  </si>
  <si>
    <t>sigue laborando</t>
  </si>
  <si>
    <t>PUESTO</t>
  </si>
  <si>
    <t>ALTA</t>
  </si>
  <si>
    <t>BAJA</t>
  </si>
  <si>
    <t>GOMEZ CORDOVA LUIS ALBERTO / MARTINEZ VAZQUEZ OLGA LIDIA</t>
  </si>
  <si>
    <t>GAMBOA SANTIAGO FRANCISCO ARMANDO / LUGO VARGAS DANIEL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</si>
</sst>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9.5"/>
      <color theme="1"/>
      <name val="Calibri"/>
      <family val="2"/>
      <scheme val="minor"/>
    </font>
    <font>
      <b/>
      <sz val="19.5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0"/>
      <name val="Calibri"/>
      <family val="2"/>
      <scheme val="minor"/>
    </font>
    <font>
      <sz val="20"/>
      <color theme="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Inherit"/>
    </font>
    <font>
      <sz val="11"/>
      <name val="Calibri"/>
      <family val="2"/>
    </font>
    <font>
      <sz val="10"/>
      <color rgb="FF434343"/>
      <name val="Roboto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61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 applyProtection="1">
      <protection locked="0"/>
    </xf>
    <xf numFmtId="0" fontId="7" fillId="0" borderId="5" xfId="0" applyFont="1" applyBorder="1"/>
    <xf numFmtId="0" fontId="7" fillId="0" borderId="6" xfId="0" applyFont="1" applyBorder="1"/>
    <xf numFmtId="0" fontId="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9" xfId="0" applyFont="1" applyBorder="1"/>
    <xf numFmtId="0" fontId="10" fillId="0" borderId="0" xfId="0" applyFont="1"/>
    <xf numFmtId="0" fontId="11" fillId="0" borderId="0" xfId="0" applyFont="1"/>
    <xf numFmtId="0" fontId="6" fillId="0" borderId="6" xfId="0" applyFont="1" applyBorder="1" applyAlignment="1">
      <alignment vertical="center"/>
    </xf>
    <xf numFmtId="0" fontId="4" fillId="0" borderId="5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6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9" borderId="1" xfId="0" applyFill="1" applyBorder="1"/>
    <xf numFmtId="0" fontId="0" fillId="7" borderId="1" xfId="0" applyFill="1" applyBorder="1"/>
    <xf numFmtId="0" fontId="14" fillId="0" borderId="1" xfId="0" applyFont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14" fontId="0" fillId="0" borderId="0" xfId="0" applyNumberFormat="1"/>
    <xf numFmtId="0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wrapText="1"/>
    </xf>
    <xf numFmtId="0" fontId="17" fillId="0" borderId="0" xfId="0" applyFont="1" applyFill="1" applyBorder="1" applyAlignment="1">
      <alignment horizontal="center" vertical="center" wrapText="1"/>
    </xf>
    <xf numFmtId="14" fontId="17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 wrapText="1"/>
    </xf>
    <xf numFmtId="14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0">
    <dxf>
      <numFmt numFmtId="13" formatCode="0%"/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Inheri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Inheri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Inheri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Inheri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Inheri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Inheri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Inheri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2026227</xdr:colOff>
      <xdr:row>0</xdr:row>
      <xdr:rowOff>19922</xdr:rowOff>
    </xdr:from>
    <xdr:ext cx="7325343" cy="1109471"/>
    <xdr:pic>
      <xdr:nvPicPr>
        <xdr:cNvPr id="2" name="Imagen 1">
          <a:extLst>
            <a:ext uri="{FF2B5EF4-FFF2-40B4-BE49-F238E27FC236}">
              <a16:creationId xmlns:a16="http://schemas.microsoft.com/office/drawing/2014/main" id="{30A45F50-4F7F-4FC7-92DF-4A128AE90B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70"/>
        <a:stretch/>
      </xdr:blipFill>
      <xdr:spPr>
        <a:xfrm>
          <a:off x="2788227" y="19922"/>
          <a:ext cx="7325343" cy="1109471"/>
        </a:xfrm>
        <a:prstGeom prst="rect">
          <a:avLst/>
        </a:prstGeom>
      </xdr:spPr>
    </xdr:pic>
    <xdr:clientData/>
  </xdr:oneCellAnchor>
  <xdr:twoCellAnchor>
    <xdr:from>
      <xdr:col>1</xdr:col>
      <xdr:colOff>2563091</xdr:colOff>
      <xdr:row>1</xdr:row>
      <xdr:rowOff>764970</xdr:rowOff>
    </xdr:from>
    <xdr:to>
      <xdr:col>1</xdr:col>
      <xdr:colOff>8572500</xdr:colOff>
      <xdr:row>1</xdr:row>
      <xdr:rowOff>1145970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2704714-D0F7-442C-87DD-0862000EA957}"/>
            </a:ext>
          </a:extLst>
        </xdr:cNvPr>
        <xdr:cNvSpPr txBox="1"/>
      </xdr:nvSpPr>
      <xdr:spPr>
        <a:xfrm>
          <a:off x="3325091" y="1095170"/>
          <a:ext cx="6009409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/>
            <a:t>Evaluación</a:t>
          </a:r>
          <a:r>
            <a:rPr lang="es-MX" sz="1800" baseline="0"/>
            <a:t> 360°</a:t>
          </a:r>
          <a:endParaRPr lang="es-MX" sz="1800"/>
        </a:p>
      </xdr:txBody>
    </xdr:sp>
    <xdr:clientData/>
  </xdr:twoCellAnchor>
  <xdr:twoCellAnchor>
    <xdr:from>
      <xdr:col>1</xdr:col>
      <xdr:colOff>2516881</xdr:colOff>
      <xdr:row>2</xdr:row>
      <xdr:rowOff>308229</xdr:rowOff>
    </xdr:from>
    <xdr:to>
      <xdr:col>1</xdr:col>
      <xdr:colOff>8633085</xdr:colOff>
      <xdr:row>2</xdr:row>
      <xdr:rowOff>308269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01D3569-C13C-4CD7-8237-8BCEF4DBD675}"/>
            </a:ext>
          </a:extLst>
        </xdr:cNvPr>
        <xdr:cNvCxnSpPr/>
      </xdr:nvCxnSpPr>
      <xdr:spPr>
        <a:xfrm>
          <a:off x="3278881" y="1863979"/>
          <a:ext cx="6116204" cy="4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772509</xdr:colOff>
      <xdr:row>2</xdr:row>
      <xdr:rowOff>308443</xdr:rowOff>
    </xdr:from>
    <xdr:to>
      <xdr:col>3</xdr:col>
      <xdr:colOff>34054</xdr:colOff>
      <xdr:row>2</xdr:row>
      <xdr:rowOff>309803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398150F4-7692-4A9C-B382-8FC9807A4320}"/>
            </a:ext>
          </a:extLst>
        </xdr:cNvPr>
        <xdr:cNvCxnSpPr/>
      </xdr:nvCxnSpPr>
      <xdr:spPr>
        <a:xfrm flipV="1">
          <a:off x="10754709" y="1864193"/>
          <a:ext cx="1160195" cy="136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3273137</xdr:colOff>
      <xdr:row>52</xdr:row>
      <xdr:rowOff>335422</xdr:rowOff>
    </xdr:from>
    <xdr:to>
      <xdr:col>1</xdr:col>
      <xdr:colOff>7914409</xdr:colOff>
      <xdr:row>52</xdr:row>
      <xdr:rowOff>335422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2F19032-9CA2-431E-B56C-87779A67CF1B}"/>
            </a:ext>
          </a:extLst>
        </xdr:cNvPr>
        <xdr:cNvCxnSpPr/>
      </xdr:nvCxnSpPr>
      <xdr:spPr>
        <a:xfrm>
          <a:off x="4035137" y="19042522"/>
          <a:ext cx="46412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3273137</xdr:colOff>
      <xdr:row>52</xdr:row>
      <xdr:rowOff>335422</xdr:rowOff>
    </xdr:from>
    <xdr:to>
      <xdr:col>1</xdr:col>
      <xdr:colOff>7914409</xdr:colOff>
      <xdr:row>52</xdr:row>
      <xdr:rowOff>335422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7883F36E-BC38-4647-9E55-4171190F3628}"/>
            </a:ext>
          </a:extLst>
        </xdr:cNvPr>
        <xdr:cNvCxnSpPr/>
      </xdr:nvCxnSpPr>
      <xdr:spPr>
        <a:xfrm>
          <a:off x="4035137" y="19042522"/>
          <a:ext cx="46412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3273137</xdr:colOff>
      <xdr:row>52</xdr:row>
      <xdr:rowOff>335422</xdr:rowOff>
    </xdr:from>
    <xdr:to>
      <xdr:col>1</xdr:col>
      <xdr:colOff>7914409</xdr:colOff>
      <xdr:row>52</xdr:row>
      <xdr:rowOff>335422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68D9FFBC-8EFB-4535-9235-59CF10F2FD3A}"/>
            </a:ext>
          </a:extLst>
        </xdr:cNvPr>
        <xdr:cNvCxnSpPr/>
      </xdr:nvCxnSpPr>
      <xdr:spPr>
        <a:xfrm>
          <a:off x="4035137" y="19042522"/>
          <a:ext cx="46412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3273137</xdr:colOff>
      <xdr:row>52</xdr:row>
      <xdr:rowOff>335422</xdr:rowOff>
    </xdr:from>
    <xdr:to>
      <xdr:col>1</xdr:col>
      <xdr:colOff>7914409</xdr:colOff>
      <xdr:row>52</xdr:row>
      <xdr:rowOff>335422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1325A4CB-23E9-43B8-965E-56C8B60D36D7}"/>
            </a:ext>
          </a:extLst>
        </xdr:cNvPr>
        <xdr:cNvCxnSpPr/>
      </xdr:nvCxnSpPr>
      <xdr:spPr>
        <a:xfrm>
          <a:off x="4035137" y="19042522"/>
          <a:ext cx="46412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3273137</xdr:colOff>
      <xdr:row>52</xdr:row>
      <xdr:rowOff>335422</xdr:rowOff>
    </xdr:from>
    <xdr:to>
      <xdr:col>1</xdr:col>
      <xdr:colOff>7914409</xdr:colOff>
      <xdr:row>52</xdr:row>
      <xdr:rowOff>335422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54CCF3C2-80E7-435F-B61D-73A5109A0CB4}"/>
            </a:ext>
          </a:extLst>
        </xdr:cNvPr>
        <xdr:cNvCxnSpPr/>
      </xdr:nvCxnSpPr>
      <xdr:spPr>
        <a:xfrm>
          <a:off x="4035137" y="19042522"/>
          <a:ext cx="46412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3297D-2977-4F4C-82D4-B6F94C3207C0}" name="Compromiso" displayName="Compromiso" ref="A1:J8" totalsRowShown="0">
  <autoFilter ref="A1:J8" xr:uid="{1463297D-2977-4F4C-82D4-B6F94C3207C0}"/>
  <tableColumns count="10">
    <tableColumn id="1" xr3:uid="{6789133E-9E6B-40FC-B8B7-4D89A9C0FF08}" name="SERVICIO"/>
    <tableColumn id="2" xr3:uid="{A7697A62-3821-4B4A-BDD7-03E2B7ADC6D3}" name="PLANTILLA"/>
    <tableColumn id="3" xr3:uid="{2CFA4860-FDBA-46D9-BD4B-FB5F83C4EF02}" name="NUMERO DE VACANTES"/>
    <tableColumn id="8" xr3:uid="{CB553188-4077-438B-B8A2-714C855CBF0D}" name="PUESTO"/>
    <tableColumn id="4" xr3:uid="{BAEC149E-C31F-4718-A370-0DBE700982C4}" name="FECHA COMPROMISO" dataDxfId="29"/>
    <tableColumn id="5" xr3:uid="{780ED3E7-2CF0-4066-A094-B2B4AAF240C3}" name="CONTRATACIONES" dataDxfId="28"/>
    <tableColumn id="6" xr3:uid="{FAFC966A-8B2D-4B89-B33D-DAEC10A04F05}" name="CUMPLIMIENTO" dataDxfId="27">
      <calculatedColumnFormula>(B2-C2+F2)/B2</calculatedColumnFormula>
    </tableColumn>
    <tableColumn id="10" xr3:uid="{8D1231BD-69BD-48A4-BF45-5E69C7F04089}" name="ALTA" dataDxfId="0"/>
    <tableColumn id="9" xr3:uid="{15A59F89-664E-45C4-A75A-B1C0AADA76AA}" name="BAJA" dataDxfId="6"/>
    <tableColumn id="7" xr3:uid="{B8BE6268-D66E-42CB-AD63-8CEEC8038EA4}" name="COMENTARIO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848825-3553-4D80-9EB3-03A2B1EDCCBE}" name="Bajas" displayName="Bajas" ref="A1:H14" totalsRowShown="0" headerRowDxfId="26" dataDxfId="17">
  <autoFilter ref="A1:H14" xr:uid="{63848825-3553-4D80-9EB3-03A2B1EDCCBE}">
    <filterColumn colId="4">
      <filters>
        <dateGroupItem year="2026" month="4" dateTimeGrouping="month"/>
      </filters>
    </filterColumn>
  </autoFilter>
  <tableColumns count="8">
    <tableColumn id="1" xr3:uid="{3EAC5542-E2BA-42B9-9399-1FD1B318A25E}" name="NO DE EMPLEADO" dataDxfId="25"/>
    <tableColumn id="2" xr3:uid="{0C6797EF-E078-474B-8B76-1D0FE7369B03}" name="NOMBRE" dataDxfId="24"/>
    <tableColumn id="3" xr3:uid="{1121B2A2-82AA-42E5-B1D3-B2102A9CCA5D}" name="POSICION" dataDxfId="23"/>
    <tableColumn id="4" xr3:uid="{7A98987B-D79D-4F99-BAD9-293781FFDF07}" name="INGRESO" dataDxfId="22"/>
    <tableColumn id="5" xr3:uid="{39E2DC62-EF69-4C2A-9C5D-7A0EA2336A5E}" name="FECHA DE BAJA" dataDxfId="21"/>
    <tableColumn id="6" xr3:uid="{D1A5A159-C6C5-4536-8A01-DC5CCD781B11}" name="FECHA DE RENUNCIA" dataDxfId="20"/>
    <tableColumn id="7" xr3:uid="{1299FDAE-4D55-4B39-9A6F-8EE79BE53831}" name="ULTIMO DIA LABORADO" dataDxfId="19"/>
    <tableColumn id="8" xr3:uid="{C88B5A78-A9FB-48B5-989F-96C70B4D4868}" name="MOTIVO DE SEPARACION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37AA7B-C801-481C-8F3A-96791A334C53}" name="Ausentismos" displayName="Ausentismos" ref="A1:I18" totalsRowShown="0" dataDxfId="16">
  <autoFilter ref="A1:I18" xr:uid="{5D37AA7B-C801-481C-8F3A-96791A334C53}"/>
  <tableColumns count="9">
    <tableColumn id="1" xr3:uid="{429C5164-DED5-417B-8888-2BB122303545}" name="FECHA" dataDxfId="15"/>
    <tableColumn id="2" xr3:uid="{60D16724-C177-450A-AA5B-17CFB157AB92}" name="TURNO" dataDxfId="14"/>
    <tableColumn id="3" xr3:uid="{3C48805C-CB17-40B1-B709-E8CF6BE700EE}" name="NOMBRE" dataDxfId="13"/>
    <tableColumn id="4" xr3:uid="{0A42A2CB-6A62-4566-AA0D-936B4FD9E0D8}" name="ASUNTO" dataDxfId="12"/>
    <tableColumn id="5" xr3:uid="{5E3D6384-11BC-40AE-86B7-C6F352B75EA0}" name="COMENTARIOS" dataDxfId="11"/>
    <tableColumn id="6" xr3:uid="{D855A345-666E-4275-9E36-67DC50A698DE}" name="DESCRIPCION" dataDxfId="10"/>
    <tableColumn id="7" xr3:uid="{82A40B2D-1DF8-4382-AFA0-2A05AF9FBC35}" name="COMPROMISO" dataDxfId="9"/>
    <tableColumn id="8" xr3:uid="{2EBC1789-9852-4BFB-B342-701C9224183D}" name="CIERRE" dataDxfId="8"/>
    <tableColumn id="9" xr3:uid="{D5DFE66D-491C-4D90-9233-45DA8E5D4E1D}" name="ENCARGAD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6D76-A236-4E71-9BFC-0BAAE1302D7A}">
  <dimension ref="A1:F54"/>
  <sheetViews>
    <sheetView topLeftCell="A13" zoomScale="50" zoomScaleNormal="50" workbookViewId="0">
      <selection activeCell="G12" sqref="G12"/>
    </sheetView>
  </sheetViews>
  <sheetFormatPr baseColWidth="10" defaultRowHeight="15"/>
  <cols>
    <col min="2" max="2" width="132" customWidth="1"/>
    <col min="3" max="3" width="27.140625" customWidth="1"/>
  </cols>
  <sheetData>
    <row r="1" spans="1:6" ht="26.25">
      <c r="A1" s="10"/>
      <c r="B1" s="9"/>
      <c r="C1" s="9"/>
      <c r="D1" s="9"/>
      <c r="E1" s="24"/>
      <c r="F1" s="24"/>
    </row>
    <row r="2" spans="1:6" ht="96.75" customHeight="1">
      <c r="A2" s="10"/>
      <c r="B2" s="10"/>
      <c r="C2" s="10"/>
      <c r="D2" s="10"/>
      <c r="E2" s="25"/>
      <c r="F2" s="25"/>
    </row>
    <row r="3" spans="1:6" ht="25.5" customHeight="1">
      <c r="A3" s="10"/>
      <c r="B3" s="11" t="s">
        <v>63</v>
      </c>
      <c r="C3" s="11" t="s">
        <v>64</v>
      </c>
      <c r="D3" s="9"/>
      <c r="E3" s="24"/>
      <c r="F3" s="24"/>
    </row>
    <row r="4" spans="1:6" ht="26.25" customHeight="1">
      <c r="A4" s="10"/>
      <c r="B4" s="10"/>
      <c r="C4" s="10"/>
      <c r="D4" s="10"/>
      <c r="E4" s="25"/>
      <c r="F4" s="24"/>
    </row>
    <row r="5" spans="1:6" ht="49.5" customHeight="1">
      <c r="A5" s="26"/>
      <c r="B5" s="44" t="s">
        <v>31</v>
      </c>
      <c r="C5" s="45"/>
      <c r="D5" s="27"/>
      <c r="E5" s="24"/>
      <c r="F5" s="24"/>
    </row>
    <row r="6" spans="1:6" ht="26.25">
      <c r="A6" s="10"/>
      <c r="B6" s="12"/>
      <c r="C6" s="13"/>
      <c r="D6" s="9"/>
      <c r="E6" s="24"/>
      <c r="F6" s="24"/>
    </row>
    <row r="7" spans="1:6" ht="26.25">
      <c r="A7" s="10"/>
      <c r="B7" s="46" t="s">
        <v>32</v>
      </c>
      <c r="C7" s="47"/>
      <c r="D7" s="27"/>
      <c r="E7" s="24"/>
      <c r="F7" s="24"/>
    </row>
    <row r="8" spans="1:6" ht="26.25">
      <c r="A8" s="10"/>
      <c r="B8" s="46"/>
      <c r="C8" s="47"/>
      <c r="D8" s="27"/>
      <c r="E8" s="24"/>
      <c r="F8" s="24"/>
    </row>
    <row r="9" spans="1:6" ht="26.25">
      <c r="A9" s="10"/>
      <c r="B9" s="46"/>
      <c r="C9" s="47"/>
      <c r="D9" s="27"/>
      <c r="E9" s="24"/>
      <c r="F9" s="24"/>
    </row>
    <row r="10" spans="1:6" ht="26.25">
      <c r="A10" s="10"/>
      <c r="B10" s="46"/>
      <c r="C10" s="47"/>
      <c r="D10" s="27"/>
      <c r="E10" s="24"/>
      <c r="F10" s="24"/>
    </row>
    <row r="11" spans="1:6" ht="26.25">
      <c r="A11" s="10"/>
      <c r="B11" s="46"/>
      <c r="C11" s="47"/>
      <c r="D11" s="27"/>
      <c r="E11" s="24"/>
      <c r="F11" s="24"/>
    </row>
    <row r="12" spans="1:6" ht="54" customHeight="1">
      <c r="A12" s="10"/>
      <c r="B12" s="48" t="s">
        <v>33</v>
      </c>
      <c r="C12" s="49"/>
      <c r="D12" s="27"/>
      <c r="E12" s="24"/>
      <c r="F12" s="24"/>
    </row>
    <row r="13" spans="1:6" ht="26.25">
      <c r="A13" s="10"/>
      <c r="B13" s="9"/>
      <c r="C13" s="9"/>
      <c r="D13" s="9"/>
      <c r="E13" s="24"/>
      <c r="F13" s="24"/>
    </row>
    <row r="14" spans="1:6" ht="26.25">
      <c r="A14" s="28"/>
      <c r="B14" s="14" t="s">
        <v>34</v>
      </c>
      <c r="C14" s="15" t="s">
        <v>35</v>
      </c>
      <c r="D14" s="9"/>
      <c r="E14" s="24"/>
      <c r="F14" s="24"/>
    </row>
    <row r="15" spans="1:6" ht="26.25">
      <c r="A15" s="29">
        <v>1</v>
      </c>
      <c r="B15" s="16" t="s">
        <v>36</v>
      </c>
      <c r="C15" s="17"/>
      <c r="D15" s="9"/>
      <c r="E15" s="24"/>
      <c r="F15" s="24"/>
    </row>
    <row r="16" spans="1:6" ht="26.25">
      <c r="A16" s="29">
        <v>4</v>
      </c>
      <c r="B16" s="16" t="s">
        <v>37</v>
      </c>
      <c r="C16" s="17"/>
      <c r="D16" s="9"/>
      <c r="E16" s="24"/>
      <c r="F16" s="24"/>
    </row>
    <row r="17" spans="1:6" ht="26.25">
      <c r="A17" s="10"/>
      <c r="B17" s="16" t="s">
        <v>38</v>
      </c>
      <c r="C17" s="17"/>
      <c r="D17" s="9"/>
      <c r="E17" s="24"/>
      <c r="F17" s="24"/>
    </row>
    <row r="18" spans="1:6" ht="26.25">
      <c r="A18" s="10"/>
      <c r="B18" s="16" t="s">
        <v>39</v>
      </c>
      <c r="C18" s="17"/>
      <c r="D18" s="9"/>
      <c r="E18" s="24"/>
      <c r="F18" s="24"/>
    </row>
    <row r="19" spans="1:6" ht="26.25">
      <c r="A19" s="29">
        <v>2</v>
      </c>
      <c r="B19" s="16" t="s">
        <v>40</v>
      </c>
      <c r="C19" s="17"/>
      <c r="D19" s="9"/>
      <c r="E19" s="24"/>
      <c r="F19" s="24"/>
    </row>
    <row r="20" spans="1:6" ht="26.25">
      <c r="A20" s="10"/>
      <c r="B20" s="9"/>
      <c r="C20" s="18"/>
      <c r="D20" s="9"/>
      <c r="E20" s="24"/>
      <c r="F20" s="24"/>
    </row>
    <row r="21" spans="1:6" ht="26.25">
      <c r="A21" s="10"/>
      <c r="B21" s="14" t="s">
        <v>41</v>
      </c>
      <c r="C21" s="15" t="s">
        <v>35</v>
      </c>
      <c r="D21" s="9"/>
      <c r="E21" s="24"/>
      <c r="F21" s="24"/>
    </row>
    <row r="22" spans="1:6" ht="26.25">
      <c r="A22" s="29">
        <v>6</v>
      </c>
      <c r="B22" s="16" t="s">
        <v>42</v>
      </c>
      <c r="C22" s="17"/>
      <c r="D22" s="9"/>
      <c r="E22" s="24"/>
      <c r="F22" s="24"/>
    </row>
    <row r="23" spans="1:6" ht="26.25">
      <c r="A23" s="30" t="s">
        <v>61</v>
      </c>
      <c r="B23" s="16" t="s">
        <v>43</v>
      </c>
      <c r="C23" s="17"/>
      <c r="D23" s="9"/>
      <c r="E23" s="24"/>
      <c r="F23" s="24"/>
    </row>
    <row r="24" spans="1:6" ht="26.25">
      <c r="A24" s="30">
        <f>3*A22</f>
        <v>18</v>
      </c>
      <c r="B24" s="16" t="s">
        <v>44</v>
      </c>
      <c r="C24" s="17"/>
      <c r="D24" s="9"/>
      <c r="E24" s="24"/>
      <c r="F24" s="24"/>
    </row>
    <row r="25" spans="1:6" ht="26.25">
      <c r="A25" s="10"/>
      <c r="B25" s="19"/>
      <c r="C25" s="20"/>
      <c r="D25" s="9"/>
      <c r="E25" s="24"/>
      <c r="F25" s="24"/>
    </row>
    <row r="26" spans="1:6" ht="26.25">
      <c r="A26" s="10"/>
      <c r="B26" s="14" t="s">
        <v>45</v>
      </c>
      <c r="C26" s="15" t="s">
        <v>35</v>
      </c>
      <c r="D26" s="9"/>
      <c r="E26" s="24"/>
      <c r="F26" s="24"/>
    </row>
    <row r="27" spans="1:6" ht="26.25">
      <c r="A27" s="10"/>
      <c r="B27" s="16" t="s">
        <v>46</v>
      </c>
      <c r="C27" s="17"/>
      <c r="D27" s="9"/>
      <c r="E27" s="24"/>
      <c r="F27" s="24"/>
    </row>
    <row r="28" spans="1:6" ht="26.25">
      <c r="A28" s="10"/>
      <c r="B28" s="16" t="s">
        <v>47</v>
      </c>
      <c r="C28" s="17"/>
      <c r="D28" s="9"/>
      <c r="E28" s="24"/>
      <c r="F28" s="24"/>
    </row>
    <row r="29" spans="1:6" ht="26.25">
      <c r="A29" s="10"/>
      <c r="B29" s="9"/>
      <c r="C29" s="18"/>
      <c r="D29" s="9"/>
      <c r="E29" s="24"/>
      <c r="F29" s="24"/>
    </row>
    <row r="30" spans="1:6" ht="26.25">
      <c r="A30" s="10"/>
      <c r="B30" s="14" t="s">
        <v>48</v>
      </c>
      <c r="C30" s="15" t="s">
        <v>35</v>
      </c>
      <c r="D30" s="9"/>
      <c r="E30" s="24"/>
      <c r="F30" s="24"/>
    </row>
    <row r="31" spans="1:6" ht="26.25">
      <c r="A31" s="10"/>
      <c r="B31" s="16" t="s">
        <v>49</v>
      </c>
      <c r="C31" s="17"/>
      <c r="D31" s="9"/>
      <c r="E31" s="24"/>
      <c r="F31" s="24"/>
    </row>
    <row r="32" spans="1:6" ht="26.25">
      <c r="A32" s="10"/>
      <c r="B32" s="16" t="s">
        <v>50</v>
      </c>
      <c r="C32" s="17"/>
      <c r="D32" s="9"/>
      <c r="E32" s="24"/>
      <c r="F32" s="24"/>
    </row>
    <row r="33" spans="1:6" ht="26.25">
      <c r="A33" s="10"/>
      <c r="B33" s="9"/>
      <c r="C33" s="18"/>
      <c r="D33" s="9"/>
      <c r="E33" s="24"/>
      <c r="F33" s="24"/>
    </row>
    <row r="34" spans="1:6" ht="26.25">
      <c r="A34" s="10"/>
      <c r="B34" s="14" t="s">
        <v>51</v>
      </c>
      <c r="C34" s="15" t="s">
        <v>35</v>
      </c>
      <c r="D34" s="9"/>
      <c r="E34" s="24"/>
      <c r="F34" s="24"/>
    </row>
    <row r="35" spans="1:6" ht="26.25">
      <c r="A35" s="10"/>
      <c r="B35" s="16" t="s">
        <v>52</v>
      </c>
      <c r="C35" s="17"/>
      <c r="D35" s="9"/>
      <c r="E35" s="24"/>
      <c r="F35" s="24"/>
    </row>
    <row r="36" spans="1:6" ht="26.25">
      <c r="A36" s="10"/>
      <c r="B36" s="16" t="s">
        <v>53</v>
      </c>
      <c r="C36" s="17"/>
      <c r="D36" s="9"/>
      <c r="E36" s="24"/>
      <c r="F36" s="24"/>
    </row>
    <row r="37" spans="1:6" ht="26.25">
      <c r="A37" s="10"/>
      <c r="B37" s="16" t="s">
        <v>54</v>
      </c>
      <c r="C37" s="21"/>
      <c r="D37" s="9"/>
      <c r="E37" s="24"/>
      <c r="F37" s="24"/>
    </row>
    <row r="38" spans="1:6" ht="26.25">
      <c r="A38" s="10"/>
      <c r="B38" s="9"/>
      <c r="C38" s="18"/>
      <c r="D38" s="9"/>
      <c r="E38" s="24"/>
      <c r="F38" s="24"/>
    </row>
    <row r="39" spans="1:6" ht="26.25">
      <c r="A39" s="10"/>
      <c r="B39" s="14" t="s">
        <v>55</v>
      </c>
      <c r="C39" s="15" t="s">
        <v>35</v>
      </c>
      <c r="D39" s="9"/>
      <c r="E39" s="24"/>
      <c r="F39" s="24"/>
    </row>
    <row r="40" spans="1:6" ht="26.25">
      <c r="A40" s="10"/>
      <c r="B40" s="16" t="s">
        <v>56</v>
      </c>
      <c r="C40" s="17"/>
      <c r="D40" s="9"/>
      <c r="E40" s="24"/>
      <c r="F40" s="24"/>
    </row>
    <row r="41" spans="1:6" ht="26.25">
      <c r="A41" s="10"/>
      <c r="B41" s="16" t="s">
        <v>57</v>
      </c>
      <c r="C41" s="17"/>
      <c r="D41" s="9"/>
      <c r="E41" s="24"/>
      <c r="F41" s="24"/>
    </row>
    <row r="42" spans="1:6" ht="26.25">
      <c r="A42" s="10"/>
      <c r="B42" s="16" t="s">
        <v>58</v>
      </c>
      <c r="C42" s="17"/>
      <c r="D42" s="9"/>
      <c r="E42" s="24"/>
      <c r="F42" s="24"/>
    </row>
    <row r="43" spans="1:6" ht="26.25">
      <c r="A43" s="10"/>
      <c r="B43" s="16" t="s">
        <v>59</v>
      </c>
      <c r="C43" s="17"/>
      <c r="D43" s="9"/>
      <c r="E43" s="24"/>
      <c r="F43" s="24"/>
    </row>
    <row r="44" spans="1:6" ht="26.25">
      <c r="A44" s="10"/>
      <c r="B44" s="9"/>
      <c r="C44" s="9"/>
      <c r="D44" s="9"/>
      <c r="E44" s="24"/>
      <c r="F44" s="24"/>
    </row>
    <row r="45" spans="1:6" ht="26.25">
      <c r="A45" s="10"/>
      <c r="B45" s="9"/>
      <c r="C45" s="9"/>
      <c r="D45" s="9"/>
      <c r="E45" s="24"/>
      <c r="F45" s="24"/>
    </row>
    <row r="46" spans="1:6" ht="26.25">
      <c r="A46" s="10"/>
      <c r="B46" s="9" t="s">
        <v>60</v>
      </c>
      <c r="C46" s="9"/>
      <c r="D46" s="9"/>
      <c r="E46" s="24"/>
      <c r="F46" s="24"/>
    </row>
    <row r="47" spans="1:6" ht="26.25">
      <c r="A47" s="10"/>
      <c r="B47" s="22"/>
      <c r="C47" s="22"/>
      <c r="D47" s="9"/>
      <c r="E47" s="24"/>
      <c r="F47" s="24"/>
    </row>
    <row r="48" spans="1:6" ht="26.25">
      <c r="A48" s="10"/>
      <c r="B48" s="22"/>
      <c r="C48" s="22"/>
      <c r="D48" s="9"/>
      <c r="E48" s="24"/>
      <c r="F48" s="24"/>
    </row>
    <row r="49" spans="1:6" ht="26.25">
      <c r="A49" s="10"/>
      <c r="B49" s="23"/>
      <c r="C49" s="23"/>
      <c r="D49" s="9"/>
      <c r="E49" s="24"/>
      <c r="F49" s="24"/>
    </row>
    <row r="50" spans="1:6" ht="26.25">
      <c r="A50" s="10"/>
      <c r="B50" s="9"/>
      <c r="C50" s="9"/>
      <c r="D50" s="9"/>
      <c r="E50" s="24"/>
      <c r="F50" s="24"/>
    </row>
    <row r="51" spans="1:6" ht="26.25">
      <c r="A51" s="10"/>
      <c r="B51" s="9"/>
      <c r="C51" s="9"/>
      <c r="D51" s="9"/>
      <c r="E51" s="24"/>
      <c r="F51" s="24"/>
    </row>
    <row r="52" spans="1:6" ht="26.25">
      <c r="A52" s="10"/>
      <c r="B52" s="9"/>
      <c r="C52" s="9"/>
      <c r="D52" s="9"/>
      <c r="E52" s="24"/>
      <c r="F52" s="24"/>
    </row>
    <row r="53" spans="1:6" ht="26.25">
      <c r="A53" s="10"/>
      <c r="B53" s="18"/>
      <c r="C53" s="9"/>
      <c r="D53" s="9"/>
      <c r="E53" s="24"/>
      <c r="F53" s="24"/>
    </row>
    <row r="54" spans="1:6" ht="26.25">
      <c r="A54" s="42" t="s">
        <v>62</v>
      </c>
      <c r="B54" s="43"/>
      <c r="C54" s="43"/>
      <c r="D54" s="43"/>
      <c r="E54" s="24"/>
      <c r="F54" s="24"/>
    </row>
  </sheetData>
  <mergeCells count="4">
    <mergeCell ref="A54:D54"/>
    <mergeCell ref="B5:C5"/>
    <mergeCell ref="B7:C11"/>
    <mergeCell ref="B12:C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5F98-65C5-49FC-9255-E6F90CA6BBC6}">
  <dimension ref="A1:J8"/>
  <sheetViews>
    <sheetView tabSelected="1" workbookViewId="0">
      <selection activeCell="D3" sqref="D3"/>
    </sheetView>
  </sheetViews>
  <sheetFormatPr baseColWidth="10" defaultRowHeight="15"/>
  <cols>
    <col min="2" max="2" width="12.42578125" customWidth="1"/>
    <col min="3" max="4" width="24" customWidth="1"/>
    <col min="5" max="5" width="22.28515625" customWidth="1"/>
    <col min="6" max="6" width="19.42578125" customWidth="1"/>
    <col min="7" max="9" width="17.42578125" customWidth="1"/>
    <col min="10" max="11" width="16.42578125" customWidth="1"/>
  </cols>
  <sheetData>
    <row r="1" spans="1:10">
      <c r="A1" t="s">
        <v>78</v>
      </c>
      <c r="B1" t="s">
        <v>79</v>
      </c>
      <c r="C1" t="s">
        <v>80</v>
      </c>
      <c r="D1" t="s">
        <v>195</v>
      </c>
      <c r="E1" t="s">
        <v>81</v>
      </c>
      <c r="F1" t="s">
        <v>85</v>
      </c>
      <c r="G1" t="s">
        <v>82</v>
      </c>
      <c r="H1" t="s">
        <v>196</v>
      </c>
      <c r="I1" t="s">
        <v>197</v>
      </c>
      <c r="J1" t="s">
        <v>83</v>
      </c>
    </row>
    <row r="2" spans="1:10">
      <c r="A2" t="s">
        <v>84</v>
      </c>
      <c r="B2">
        <v>42</v>
      </c>
      <c r="C2">
        <v>4</v>
      </c>
      <c r="D2" t="s">
        <v>106</v>
      </c>
      <c r="E2" s="50">
        <v>46130</v>
      </c>
      <c r="F2" s="51">
        <v>2</v>
      </c>
      <c r="G2" s="52">
        <f t="shared" ref="G2:G8" si="0">(B2-C2+F2)/B2</f>
        <v>0.95238095238095233</v>
      </c>
      <c r="H2" s="52"/>
      <c r="I2" s="52" t="s">
        <v>199</v>
      </c>
      <c r="J2" t="s">
        <v>86</v>
      </c>
    </row>
    <row r="3" spans="1:10">
      <c r="A3" t="s">
        <v>84</v>
      </c>
      <c r="B3">
        <v>42</v>
      </c>
      <c r="C3">
        <v>3</v>
      </c>
      <c r="E3" s="50">
        <v>46137</v>
      </c>
      <c r="F3" s="51">
        <v>2</v>
      </c>
      <c r="G3" s="53">
        <f t="shared" si="0"/>
        <v>0.97619047619047616</v>
      </c>
      <c r="H3" s="53"/>
      <c r="I3" s="53"/>
      <c r="J3" t="s">
        <v>87</v>
      </c>
    </row>
    <row r="4" spans="1:10">
      <c r="A4" t="s">
        <v>84</v>
      </c>
      <c r="B4">
        <v>42</v>
      </c>
      <c r="C4">
        <v>2</v>
      </c>
      <c r="E4" s="50">
        <v>46144</v>
      </c>
      <c r="F4" s="51">
        <v>2</v>
      </c>
      <c r="G4" s="53">
        <f t="shared" si="0"/>
        <v>1</v>
      </c>
      <c r="H4" s="53"/>
      <c r="I4" s="53"/>
      <c r="J4" t="s">
        <v>88</v>
      </c>
    </row>
    <row r="5" spans="1:10">
      <c r="A5" t="s">
        <v>84</v>
      </c>
      <c r="B5">
        <v>42</v>
      </c>
      <c r="C5">
        <v>2</v>
      </c>
      <c r="E5" s="50">
        <v>46151</v>
      </c>
      <c r="F5" s="51">
        <v>2</v>
      </c>
      <c r="G5" s="53">
        <f t="shared" si="0"/>
        <v>1</v>
      </c>
      <c r="H5" s="53"/>
      <c r="I5" s="53"/>
      <c r="J5" t="s">
        <v>88</v>
      </c>
    </row>
    <row r="6" spans="1:10">
      <c r="A6" t="s">
        <v>84</v>
      </c>
      <c r="B6">
        <v>42</v>
      </c>
      <c r="C6">
        <v>2</v>
      </c>
      <c r="E6" s="50">
        <v>46158</v>
      </c>
      <c r="F6" s="51">
        <v>1</v>
      </c>
      <c r="G6" s="53">
        <f t="shared" si="0"/>
        <v>0.97619047619047616</v>
      </c>
      <c r="H6" s="53"/>
      <c r="I6" s="53" t="s">
        <v>198</v>
      </c>
      <c r="J6" t="s">
        <v>89</v>
      </c>
    </row>
    <row r="7" spans="1:10">
      <c r="A7" t="s">
        <v>84</v>
      </c>
      <c r="B7">
        <v>42</v>
      </c>
      <c r="C7">
        <v>1</v>
      </c>
      <c r="E7" s="50">
        <v>46165</v>
      </c>
      <c r="F7" s="51">
        <v>1</v>
      </c>
      <c r="G7" s="53">
        <f t="shared" si="0"/>
        <v>1</v>
      </c>
      <c r="H7" s="53"/>
      <c r="I7" s="53"/>
      <c r="J7" t="s">
        <v>88</v>
      </c>
    </row>
    <row r="8" spans="1:10">
      <c r="A8" t="s">
        <v>84</v>
      </c>
      <c r="B8">
        <v>42</v>
      </c>
      <c r="C8">
        <v>1</v>
      </c>
      <c r="E8" s="50">
        <v>46172</v>
      </c>
      <c r="F8" s="51">
        <v>1</v>
      </c>
      <c r="G8" s="53">
        <f t="shared" si="0"/>
        <v>1</v>
      </c>
      <c r="H8" s="53"/>
      <c r="I8" s="5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FEAC-00A2-46D3-B781-FE91BEA9B0EA}">
  <dimension ref="A1:H14"/>
  <sheetViews>
    <sheetView workbookViewId="0">
      <selection activeCell="B10" sqref="B10"/>
    </sheetView>
  </sheetViews>
  <sheetFormatPr baseColWidth="10" defaultRowHeight="15"/>
  <cols>
    <col min="1" max="1" width="19" customWidth="1"/>
    <col min="3" max="3" width="11.85546875" customWidth="1"/>
    <col min="5" max="5" width="16.42578125" customWidth="1"/>
    <col min="6" max="6" width="21.42578125" customWidth="1"/>
    <col min="7" max="7" width="24.140625" customWidth="1"/>
    <col min="8" max="8" width="31.7109375" customWidth="1"/>
  </cols>
  <sheetData>
    <row r="1" spans="1:8">
      <c r="A1" s="54" t="s">
        <v>90</v>
      </c>
      <c r="B1" s="54" t="s">
        <v>91</v>
      </c>
      <c r="C1" s="54" t="s">
        <v>92</v>
      </c>
      <c r="D1" s="54" t="s">
        <v>93</v>
      </c>
      <c r="E1" s="54" t="s">
        <v>94</v>
      </c>
      <c r="F1" s="54" t="s">
        <v>95</v>
      </c>
      <c r="G1" s="54" t="s">
        <v>96</v>
      </c>
      <c r="H1" s="54" t="s">
        <v>97</v>
      </c>
    </row>
    <row r="2" spans="1:8" ht="33.75" hidden="1">
      <c r="A2" s="55">
        <v>7651</v>
      </c>
      <c r="B2" s="55" t="s">
        <v>107</v>
      </c>
      <c r="C2" s="55" t="s">
        <v>108</v>
      </c>
      <c r="D2" s="56">
        <v>46078</v>
      </c>
      <c r="E2" s="56">
        <v>46094</v>
      </c>
      <c r="F2" s="55" t="s">
        <v>109</v>
      </c>
      <c r="G2" s="56">
        <v>46090</v>
      </c>
      <c r="H2" s="55" t="s">
        <v>110</v>
      </c>
    </row>
    <row r="3" spans="1:8" ht="45" hidden="1">
      <c r="A3" s="57">
        <v>7262</v>
      </c>
      <c r="B3" s="55" t="s">
        <v>111</v>
      </c>
      <c r="C3" s="55" t="s">
        <v>108</v>
      </c>
      <c r="D3" s="56">
        <v>45877</v>
      </c>
      <c r="E3" s="56">
        <v>46104</v>
      </c>
      <c r="F3" s="56">
        <v>46104</v>
      </c>
      <c r="G3" s="56">
        <v>46103</v>
      </c>
      <c r="H3" s="55" t="s">
        <v>112</v>
      </c>
    </row>
    <row r="4" spans="1:8" ht="33.75" hidden="1">
      <c r="A4" s="55">
        <v>7694</v>
      </c>
      <c r="B4" s="55" t="s">
        <v>113</v>
      </c>
      <c r="C4" s="55" t="s">
        <v>114</v>
      </c>
      <c r="D4" s="56">
        <v>46101</v>
      </c>
      <c r="E4" s="56">
        <v>46112</v>
      </c>
      <c r="F4" s="55" t="s">
        <v>109</v>
      </c>
      <c r="G4" s="56">
        <v>46107</v>
      </c>
      <c r="H4" s="55" t="s">
        <v>115</v>
      </c>
    </row>
    <row r="5" spans="1:8" ht="33.75">
      <c r="A5" s="57">
        <v>7197</v>
      </c>
      <c r="B5" s="55" t="s">
        <v>116</v>
      </c>
      <c r="C5" s="55" t="s">
        <v>108</v>
      </c>
      <c r="D5" s="56">
        <v>45841</v>
      </c>
      <c r="E5" s="56">
        <v>46114</v>
      </c>
      <c r="F5" s="55" t="s">
        <v>109</v>
      </c>
      <c r="G5" s="56">
        <v>46109</v>
      </c>
      <c r="H5" s="55" t="s">
        <v>117</v>
      </c>
    </row>
    <row r="6" spans="1:8" ht="33.75">
      <c r="A6" s="55">
        <v>7586</v>
      </c>
      <c r="B6" s="55" t="s">
        <v>118</v>
      </c>
      <c r="C6" s="55" t="s">
        <v>108</v>
      </c>
      <c r="D6" s="56">
        <v>46038</v>
      </c>
      <c r="E6" s="56">
        <v>46116</v>
      </c>
      <c r="F6" s="55" t="s">
        <v>109</v>
      </c>
      <c r="G6" s="56">
        <v>46107</v>
      </c>
      <c r="H6" s="55" t="s">
        <v>119</v>
      </c>
    </row>
    <row r="7" spans="1:8" ht="45">
      <c r="A7" s="55">
        <v>7693</v>
      </c>
      <c r="B7" s="55" t="s">
        <v>120</v>
      </c>
      <c r="C7" s="55" t="s">
        <v>108</v>
      </c>
      <c r="D7" s="56">
        <v>46100</v>
      </c>
      <c r="E7" s="56">
        <v>46120</v>
      </c>
      <c r="F7" s="55" t="s">
        <v>109</v>
      </c>
      <c r="G7" s="56">
        <v>46116</v>
      </c>
      <c r="H7" s="55" t="s">
        <v>110</v>
      </c>
    </row>
    <row r="8" spans="1:8" ht="33.75">
      <c r="A8" s="55">
        <v>7728</v>
      </c>
      <c r="B8" s="55" t="s">
        <v>121</v>
      </c>
      <c r="C8" s="55" t="s">
        <v>108</v>
      </c>
      <c r="D8" s="56">
        <v>46121</v>
      </c>
      <c r="E8" s="56">
        <v>46126</v>
      </c>
      <c r="F8" s="56">
        <v>46126</v>
      </c>
      <c r="G8" s="56">
        <v>46125</v>
      </c>
      <c r="H8" s="55" t="s">
        <v>122</v>
      </c>
    </row>
    <row r="9" spans="1:8" ht="123.75">
      <c r="A9" s="55">
        <v>6587</v>
      </c>
      <c r="B9" s="55" t="s">
        <v>124</v>
      </c>
      <c r="C9" s="55" t="s">
        <v>108</v>
      </c>
      <c r="D9" s="56">
        <v>45552</v>
      </c>
      <c r="E9" s="56">
        <v>46130</v>
      </c>
      <c r="F9" s="56">
        <v>46130</v>
      </c>
      <c r="G9" s="56">
        <v>46126</v>
      </c>
      <c r="H9" s="55" t="s">
        <v>125</v>
      </c>
    </row>
    <row r="10" spans="1:8" ht="45">
      <c r="A10" s="55">
        <v>7633</v>
      </c>
      <c r="B10" s="55" t="s">
        <v>126</v>
      </c>
      <c r="C10" s="55" t="s">
        <v>108</v>
      </c>
      <c r="D10" s="56">
        <v>46066</v>
      </c>
      <c r="E10" s="56">
        <v>46130</v>
      </c>
      <c r="F10" s="56">
        <v>46133</v>
      </c>
      <c r="G10" s="56">
        <v>46126</v>
      </c>
      <c r="H10" s="55" t="s">
        <v>127</v>
      </c>
    </row>
    <row r="11" spans="1:8" ht="33.75" hidden="1">
      <c r="A11" s="55">
        <v>7701</v>
      </c>
      <c r="B11" s="55" t="s">
        <v>128</v>
      </c>
      <c r="C11" s="55" t="s">
        <v>108</v>
      </c>
      <c r="D11" s="56">
        <v>46105</v>
      </c>
      <c r="E11" s="56">
        <v>46144</v>
      </c>
      <c r="F11" s="55" t="s">
        <v>109</v>
      </c>
      <c r="G11" s="56">
        <v>46139</v>
      </c>
      <c r="H11" s="55" t="s">
        <v>119</v>
      </c>
    </row>
    <row r="12" spans="1:8" ht="33.75">
      <c r="A12" s="55">
        <v>7340</v>
      </c>
      <c r="B12" s="58" t="s">
        <v>129</v>
      </c>
      <c r="C12" s="55" t="s">
        <v>130</v>
      </c>
      <c r="D12" s="56">
        <v>45909</v>
      </c>
      <c r="E12" s="56">
        <v>46138</v>
      </c>
      <c r="F12" s="55" t="s">
        <v>109</v>
      </c>
      <c r="G12" s="56">
        <v>46132</v>
      </c>
      <c r="H12" s="55" t="s">
        <v>110</v>
      </c>
    </row>
    <row r="13" spans="1:8" ht="33.75" hidden="1">
      <c r="A13" s="55">
        <v>7739</v>
      </c>
      <c r="B13" s="55" t="s">
        <v>131</v>
      </c>
      <c r="C13" s="55" t="s">
        <v>108</v>
      </c>
      <c r="D13" s="56">
        <v>46126</v>
      </c>
      <c r="E13" s="56">
        <v>46145</v>
      </c>
      <c r="F13" s="55" t="s">
        <v>109</v>
      </c>
      <c r="G13" s="56">
        <v>46136</v>
      </c>
      <c r="H13" s="55" t="s">
        <v>132</v>
      </c>
    </row>
    <row r="14" spans="1:8" ht="45" hidden="1">
      <c r="A14" s="55">
        <v>7753</v>
      </c>
      <c r="B14" s="55" t="s">
        <v>133</v>
      </c>
      <c r="C14" s="55" t="s">
        <v>108</v>
      </c>
      <c r="D14" s="56">
        <v>46134</v>
      </c>
      <c r="E14" s="56">
        <v>46153</v>
      </c>
      <c r="F14" s="55" t="s">
        <v>109</v>
      </c>
      <c r="G14" s="56">
        <v>46147</v>
      </c>
      <c r="H14" s="55" t="s">
        <v>134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E24E-2043-4DCE-ACB1-B24C74835A95}">
  <dimension ref="A1:I18"/>
  <sheetViews>
    <sheetView workbookViewId="0">
      <selection activeCell="H2" sqref="H2"/>
    </sheetView>
  </sheetViews>
  <sheetFormatPr baseColWidth="10" defaultRowHeight="15"/>
  <cols>
    <col min="5" max="5" width="16.42578125" customWidth="1"/>
    <col min="6" max="6" width="15" customWidth="1"/>
    <col min="7" max="7" width="16.140625" customWidth="1"/>
    <col min="9" max="9" width="14.5703125" customWidth="1"/>
  </cols>
  <sheetData>
    <row r="1" spans="1:9">
      <c r="A1" t="s">
        <v>98</v>
      </c>
      <c r="B1" t="s">
        <v>99</v>
      </c>
      <c r="C1" t="s">
        <v>91</v>
      </c>
      <c r="D1" t="s">
        <v>100</v>
      </c>
      <c r="E1" t="s">
        <v>83</v>
      </c>
      <c r="F1" t="s">
        <v>101</v>
      </c>
      <c r="G1" t="s">
        <v>102</v>
      </c>
      <c r="H1" t="s">
        <v>103</v>
      </c>
      <c r="I1" t="s">
        <v>104</v>
      </c>
    </row>
    <row r="2" spans="1:9" ht="63.75">
      <c r="A2" s="59">
        <v>46143</v>
      </c>
      <c r="B2" s="60" t="s">
        <v>135</v>
      </c>
      <c r="C2" s="60" t="s">
        <v>105</v>
      </c>
      <c r="D2" s="60" t="s">
        <v>136</v>
      </c>
      <c r="E2" s="60" t="s">
        <v>109</v>
      </c>
      <c r="F2" s="60" t="s">
        <v>137</v>
      </c>
      <c r="G2" s="60" t="s">
        <v>138</v>
      </c>
      <c r="H2" s="60" t="s">
        <v>139</v>
      </c>
      <c r="I2" s="60" t="s">
        <v>140</v>
      </c>
    </row>
    <row r="3" spans="1:9" ht="63.75">
      <c r="A3" s="59">
        <v>46143</v>
      </c>
      <c r="B3" s="60" t="s">
        <v>135</v>
      </c>
      <c r="C3" s="60" t="s">
        <v>141</v>
      </c>
      <c r="D3" s="60" t="s">
        <v>136</v>
      </c>
      <c r="E3" s="60" t="s">
        <v>109</v>
      </c>
      <c r="F3" s="60" t="s">
        <v>137</v>
      </c>
      <c r="G3" s="60" t="s">
        <v>142</v>
      </c>
      <c r="H3" s="60" t="s">
        <v>139</v>
      </c>
      <c r="I3" s="60" t="s">
        <v>140</v>
      </c>
    </row>
    <row r="4" spans="1:9" ht="102">
      <c r="A4" s="59">
        <v>46148</v>
      </c>
      <c r="B4" s="60" t="s">
        <v>143</v>
      </c>
      <c r="C4" s="60" t="s">
        <v>144</v>
      </c>
      <c r="D4" s="60" t="s">
        <v>136</v>
      </c>
      <c r="E4" s="60" t="s">
        <v>145</v>
      </c>
      <c r="F4" s="60" t="s">
        <v>146</v>
      </c>
      <c r="G4" s="60" t="s">
        <v>147</v>
      </c>
      <c r="H4" s="60" t="s">
        <v>148</v>
      </c>
      <c r="I4" s="60" t="s">
        <v>149</v>
      </c>
    </row>
    <row r="5" spans="1:9" ht="89.25">
      <c r="A5" s="59">
        <v>46149</v>
      </c>
      <c r="B5" s="60" t="s">
        <v>135</v>
      </c>
      <c r="C5" s="60" t="s">
        <v>105</v>
      </c>
      <c r="D5" s="60" t="s">
        <v>136</v>
      </c>
      <c r="E5" s="60" t="s">
        <v>123</v>
      </c>
      <c r="F5" s="60" t="s">
        <v>150</v>
      </c>
      <c r="G5" s="60" t="s">
        <v>151</v>
      </c>
      <c r="H5" s="60" t="s">
        <v>152</v>
      </c>
      <c r="I5" s="60" t="s">
        <v>140</v>
      </c>
    </row>
    <row r="6" spans="1:9" ht="76.5">
      <c r="A6" s="59">
        <v>46150</v>
      </c>
      <c r="B6" s="60" t="s">
        <v>143</v>
      </c>
      <c r="C6" s="60" t="s">
        <v>153</v>
      </c>
      <c r="D6" s="60" t="s">
        <v>136</v>
      </c>
      <c r="E6" s="60" t="s">
        <v>123</v>
      </c>
      <c r="F6" s="60" t="s">
        <v>154</v>
      </c>
      <c r="G6" s="60" t="s">
        <v>155</v>
      </c>
      <c r="H6" s="60" t="s">
        <v>156</v>
      </c>
      <c r="I6" s="60" t="s">
        <v>149</v>
      </c>
    </row>
    <row r="7" spans="1:9" ht="76.5">
      <c r="A7" s="59">
        <v>46150</v>
      </c>
      <c r="B7" s="60" t="s">
        <v>143</v>
      </c>
      <c r="C7" s="60" t="s">
        <v>153</v>
      </c>
      <c r="D7" s="60" t="s">
        <v>136</v>
      </c>
      <c r="E7" s="60" t="s">
        <v>123</v>
      </c>
      <c r="F7" s="60" t="s">
        <v>154</v>
      </c>
      <c r="G7" s="60" t="s">
        <v>155</v>
      </c>
      <c r="H7" s="60" t="s">
        <v>156</v>
      </c>
      <c r="I7" s="60" t="s">
        <v>149</v>
      </c>
    </row>
    <row r="8" spans="1:9" ht="102">
      <c r="A8" s="59">
        <v>46155</v>
      </c>
      <c r="B8" s="60" t="s">
        <v>135</v>
      </c>
      <c r="C8" s="60" t="s">
        <v>157</v>
      </c>
      <c r="D8" s="60" t="s">
        <v>136</v>
      </c>
      <c r="E8" s="60" t="s">
        <v>123</v>
      </c>
      <c r="F8" s="60" t="s">
        <v>158</v>
      </c>
      <c r="G8" s="60" t="s">
        <v>159</v>
      </c>
      <c r="H8" s="60" t="s">
        <v>160</v>
      </c>
      <c r="I8" s="60" t="s">
        <v>149</v>
      </c>
    </row>
    <row r="9" spans="1:9" ht="63.75">
      <c r="A9" s="59">
        <v>46158</v>
      </c>
      <c r="B9" s="60" t="s">
        <v>143</v>
      </c>
      <c r="C9" s="60" t="s">
        <v>153</v>
      </c>
      <c r="D9" s="60" t="s">
        <v>136</v>
      </c>
      <c r="E9" s="60" t="s">
        <v>123</v>
      </c>
      <c r="F9" s="60" t="s">
        <v>161</v>
      </c>
      <c r="G9" s="60" t="s">
        <v>162</v>
      </c>
      <c r="H9" s="60" t="s">
        <v>152</v>
      </c>
      <c r="I9" s="60" t="s">
        <v>149</v>
      </c>
    </row>
    <row r="10" spans="1:9" ht="76.5">
      <c r="A10" s="59">
        <v>46158</v>
      </c>
      <c r="B10" s="60" t="s">
        <v>143</v>
      </c>
      <c r="C10" s="60" t="s">
        <v>163</v>
      </c>
      <c r="D10" s="60" t="s">
        <v>136</v>
      </c>
      <c r="E10" s="60" t="s">
        <v>164</v>
      </c>
      <c r="F10" s="60" t="s">
        <v>165</v>
      </c>
      <c r="G10" s="60" t="s">
        <v>166</v>
      </c>
      <c r="H10" s="60" t="s">
        <v>152</v>
      </c>
      <c r="I10" s="60" t="s">
        <v>149</v>
      </c>
    </row>
    <row r="11" spans="1:9" ht="51">
      <c r="A11" s="59">
        <v>46158</v>
      </c>
      <c r="B11" s="60" t="s">
        <v>135</v>
      </c>
      <c r="C11" s="60" t="s">
        <v>167</v>
      </c>
      <c r="D11" s="60" t="s">
        <v>136</v>
      </c>
      <c r="E11" s="60" t="s">
        <v>109</v>
      </c>
      <c r="F11" s="60" t="s">
        <v>168</v>
      </c>
      <c r="G11" s="60" t="s">
        <v>169</v>
      </c>
      <c r="H11" s="60" t="s">
        <v>160</v>
      </c>
      <c r="I11" s="60" t="s">
        <v>149</v>
      </c>
    </row>
    <row r="12" spans="1:9" ht="89.25">
      <c r="A12" s="59">
        <v>46158</v>
      </c>
      <c r="B12" s="60" t="s">
        <v>135</v>
      </c>
      <c r="C12" s="60" t="s">
        <v>170</v>
      </c>
      <c r="D12" s="60" t="s">
        <v>136</v>
      </c>
      <c r="E12" s="60" t="s">
        <v>123</v>
      </c>
      <c r="F12" s="60" t="s">
        <v>171</v>
      </c>
      <c r="G12" s="60" t="s">
        <v>172</v>
      </c>
      <c r="H12" s="60" t="s">
        <v>160</v>
      </c>
      <c r="I12" s="60" t="s">
        <v>149</v>
      </c>
    </row>
    <row r="13" spans="1:9" ht="76.5">
      <c r="A13" s="59">
        <v>46158</v>
      </c>
      <c r="B13" s="60" t="s">
        <v>143</v>
      </c>
      <c r="C13" s="60" t="s">
        <v>173</v>
      </c>
      <c r="D13" s="60" t="s">
        <v>136</v>
      </c>
      <c r="E13" s="60" t="s">
        <v>123</v>
      </c>
      <c r="F13" s="60" t="s">
        <v>174</v>
      </c>
      <c r="G13" s="60" t="s">
        <v>175</v>
      </c>
      <c r="H13" s="60" t="s">
        <v>152</v>
      </c>
      <c r="I13" s="60" t="s">
        <v>149</v>
      </c>
    </row>
    <row r="14" spans="1:9" ht="63.75">
      <c r="A14" s="59">
        <v>46158</v>
      </c>
      <c r="B14" s="60" t="s">
        <v>135</v>
      </c>
      <c r="C14" s="60" t="s">
        <v>176</v>
      </c>
      <c r="D14" s="60" t="s">
        <v>136</v>
      </c>
      <c r="E14" s="60" t="s">
        <v>177</v>
      </c>
      <c r="F14" s="60" t="s">
        <v>178</v>
      </c>
      <c r="G14" s="60" t="s">
        <v>179</v>
      </c>
      <c r="H14" s="60" t="s">
        <v>180</v>
      </c>
      <c r="I14" s="60" t="s">
        <v>140</v>
      </c>
    </row>
    <row r="15" spans="1:9" ht="51">
      <c r="A15" s="59">
        <v>46158</v>
      </c>
      <c r="B15" s="60" t="s">
        <v>135</v>
      </c>
      <c r="C15" s="60" t="s">
        <v>181</v>
      </c>
      <c r="D15" s="60" t="s">
        <v>136</v>
      </c>
      <c r="E15" s="60" t="s">
        <v>123</v>
      </c>
      <c r="F15" s="60" t="s">
        <v>182</v>
      </c>
      <c r="G15" s="60" t="s">
        <v>183</v>
      </c>
      <c r="H15" s="60" t="s">
        <v>184</v>
      </c>
      <c r="I15" s="60" t="s">
        <v>140</v>
      </c>
    </row>
    <row r="16" spans="1:9" ht="89.25">
      <c r="A16" s="59">
        <v>46161</v>
      </c>
      <c r="B16" s="60" t="s">
        <v>143</v>
      </c>
      <c r="C16" s="60" t="s">
        <v>167</v>
      </c>
      <c r="D16" s="60" t="s">
        <v>136</v>
      </c>
      <c r="E16" s="60" t="s">
        <v>123</v>
      </c>
      <c r="F16" s="60" t="s">
        <v>185</v>
      </c>
      <c r="G16" s="60" t="s">
        <v>186</v>
      </c>
      <c r="H16" s="60" t="s">
        <v>187</v>
      </c>
      <c r="I16" s="60" t="s">
        <v>149</v>
      </c>
    </row>
    <row r="17" spans="1:9" ht="127.5">
      <c r="A17" s="59">
        <v>46161</v>
      </c>
      <c r="B17" s="60" t="s">
        <v>143</v>
      </c>
      <c r="C17" s="60" t="s">
        <v>170</v>
      </c>
      <c r="D17" s="60" t="s">
        <v>136</v>
      </c>
      <c r="E17" s="60" t="s">
        <v>123</v>
      </c>
      <c r="F17" s="60" t="s">
        <v>188</v>
      </c>
      <c r="G17" s="60" t="s">
        <v>189</v>
      </c>
      <c r="H17" s="60" t="s">
        <v>160</v>
      </c>
      <c r="I17" s="60" t="s">
        <v>149</v>
      </c>
    </row>
    <row r="18" spans="1:9" ht="102">
      <c r="A18" s="59">
        <v>46162</v>
      </c>
      <c r="B18" s="60" t="s">
        <v>135</v>
      </c>
      <c r="C18" s="60" t="s">
        <v>190</v>
      </c>
      <c r="D18" s="60" t="s">
        <v>136</v>
      </c>
      <c r="E18" s="60" t="s">
        <v>191</v>
      </c>
      <c r="F18" s="60" t="s">
        <v>192</v>
      </c>
      <c r="G18" s="60" t="s">
        <v>193</v>
      </c>
      <c r="H18" s="60" t="s">
        <v>194</v>
      </c>
      <c r="I18" s="60" t="s">
        <v>140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AF35-80A1-44E3-9637-A95C90B758E6}">
  <dimension ref="A1:L26"/>
  <sheetViews>
    <sheetView zoomScale="80" zoomScaleNormal="80" workbookViewId="0">
      <selection activeCell="L14" sqref="L14"/>
    </sheetView>
  </sheetViews>
  <sheetFormatPr baseColWidth="10" defaultRowHeight="15"/>
  <cols>
    <col min="1" max="1" width="38.42578125" bestFit="1" customWidth="1"/>
    <col min="2" max="3" width="10.85546875" customWidth="1"/>
    <col min="4" max="4" width="11.7109375" customWidth="1"/>
    <col min="5" max="5" width="11.42578125" customWidth="1"/>
    <col min="8" max="8" width="11.140625" style="3" bestFit="1" customWidth="1"/>
  </cols>
  <sheetData>
    <row r="1" spans="1:12" ht="21">
      <c r="A1" s="40" t="s">
        <v>30</v>
      </c>
      <c r="B1" s="40"/>
      <c r="C1" s="40"/>
      <c r="D1" s="40"/>
      <c r="E1" s="40"/>
      <c r="F1" s="40"/>
      <c r="G1" s="40"/>
      <c r="H1" s="40"/>
    </row>
    <row r="2" spans="1:12" ht="39" customHeight="1">
      <c r="A2" s="7" t="s">
        <v>27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29</v>
      </c>
      <c r="H2" s="8" t="s">
        <v>28</v>
      </c>
    </row>
    <row r="3" spans="1:12">
      <c r="A3" s="2" t="s">
        <v>5</v>
      </c>
      <c r="B3" s="6">
        <f>64/19</f>
        <v>3.3684210526315788</v>
      </c>
      <c r="C3" s="6">
        <f>55/19</f>
        <v>2.8947368421052633</v>
      </c>
      <c r="D3" s="6">
        <f>62/19</f>
        <v>3.263157894736842</v>
      </c>
      <c r="E3" s="6">
        <f>55/19</f>
        <v>2.8947368421052633</v>
      </c>
      <c r="F3" s="6">
        <f>42/19</f>
        <v>2.2105263157894739</v>
      </c>
      <c r="G3" s="6">
        <v>2.6</v>
      </c>
      <c r="H3" s="31">
        <f>SUM(B3:G3)/6</f>
        <v>2.8719298245614038</v>
      </c>
      <c r="J3" s="41" t="s">
        <v>71</v>
      </c>
      <c r="K3" s="41"/>
      <c r="L3" s="41"/>
    </row>
    <row r="4" spans="1:12">
      <c r="A4" s="2" t="s">
        <v>6</v>
      </c>
      <c r="B4" s="6">
        <f>65/19</f>
        <v>3.4210526315789473</v>
      </c>
      <c r="C4" s="6">
        <f>53/19</f>
        <v>2.7894736842105261</v>
      </c>
      <c r="D4" s="6">
        <f>58/19</f>
        <v>3.0526315789473686</v>
      </c>
      <c r="E4" s="6">
        <f>52/19</f>
        <v>2.736842105263158</v>
      </c>
      <c r="F4" s="6">
        <f>49/19</f>
        <v>2.5789473684210527</v>
      </c>
      <c r="G4" s="5">
        <v>2.7</v>
      </c>
      <c r="H4" s="31">
        <f t="shared" ref="H4:H25" si="0">SUM(B4:G4)/6</f>
        <v>2.8798245614035092</v>
      </c>
      <c r="J4" s="4" t="s">
        <v>66</v>
      </c>
      <c r="K4" s="39" t="s">
        <v>72</v>
      </c>
      <c r="L4" s="34"/>
    </row>
    <row r="5" spans="1:12">
      <c r="A5" s="2" t="s">
        <v>7</v>
      </c>
      <c r="B5" s="6">
        <f>59/19</f>
        <v>3.1052631578947367</v>
      </c>
      <c r="C5" s="6">
        <f>63/19</f>
        <v>3.3157894736842106</v>
      </c>
      <c r="D5" s="6">
        <f>52/19</f>
        <v>2.736842105263158</v>
      </c>
      <c r="E5" s="6">
        <f>55/19</f>
        <v>2.8947368421052633</v>
      </c>
      <c r="F5" s="6">
        <f>60/19</f>
        <v>3.1578947368421053</v>
      </c>
      <c r="G5" s="6">
        <f>68/19</f>
        <v>3.5789473684210527</v>
      </c>
      <c r="H5" s="31">
        <f t="shared" si="0"/>
        <v>3.1315789473684208</v>
      </c>
      <c r="J5" s="4" t="s">
        <v>67</v>
      </c>
      <c r="K5" s="39" t="s">
        <v>74</v>
      </c>
      <c r="L5" s="35"/>
    </row>
    <row r="6" spans="1:12">
      <c r="A6" s="2" t="s">
        <v>8</v>
      </c>
      <c r="B6" s="6">
        <f>60/19</f>
        <v>3.1578947368421053</v>
      </c>
      <c r="C6" s="6">
        <f>67/19</f>
        <v>3.5263157894736841</v>
      </c>
      <c r="D6" s="6">
        <f>58/19</f>
        <v>3.0526315789473686</v>
      </c>
      <c r="E6" s="6">
        <f>49/19</f>
        <v>2.5789473684210527</v>
      </c>
      <c r="F6" s="6">
        <f>51/19</f>
        <v>2.6842105263157894</v>
      </c>
      <c r="G6" s="6">
        <v>3</v>
      </c>
      <c r="H6" s="31">
        <f t="shared" si="0"/>
        <v>3</v>
      </c>
      <c r="J6" s="4" t="s">
        <v>68</v>
      </c>
      <c r="K6" s="39" t="s">
        <v>75</v>
      </c>
      <c r="L6" s="36"/>
    </row>
    <row r="7" spans="1:12">
      <c r="A7" s="2" t="s">
        <v>9</v>
      </c>
      <c r="B7" s="6">
        <f>53/19</f>
        <v>2.7894736842105261</v>
      </c>
      <c r="C7" s="6">
        <f>42/19</f>
        <v>2.2105263157894739</v>
      </c>
      <c r="D7" s="6">
        <f>37/19</f>
        <v>1.9473684210526316</v>
      </c>
      <c r="E7" s="6">
        <f>52/19</f>
        <v>2.736842105263158</v>
      </c>
      <c r="F7" s="6">
        <f>49/19</f>
        <v>2.5789473684210527</v>
      </c>
      <c r="G7" s="6">
        <f>46/19</f>
        <v>2.4210526315789473</v>
      </c>
      <c r="H7" s="31">
        <f t="shared" si="0"/>
        <v>2.4473684210526314</v>
      </c>
      <c r="J7" s="4" t="s">
        <v>69</v>
      </c>
      <c r="K7" s="39" t="s">
        <v>76</v>
      </c>
      <c r="L7" s="37"/>
    </row>
    <row r="8" spans="1:12">
      <c r="A8" s="2" t="s">
        <v>10</v>
      </c>
      <c r="B8" s="6">
        <f>49/19</f>
        <v>2.5789473684210527</v>
      </c>
      <c r="C8" s="6">
        <f>58/19</f>
        <v>3.0526315789473686</v>
      </c>
      <c r="D8" s="6">
        <f>52/19</f>
        <v>2.736842105263158</v>
      </c>
      <c r="E8" s="6">
        <f>57/19</f>
        <v>3</v>
      </c>
      <c r="F8" s="6">
        <f>57/19</f>
        <v>3</v>
      </c>
      <c r="G8" s="5">
        <v>2.9</v>
      </c>
      <c r="H8" s="31">
        <f t="shared" si="0"/>
        <v>2.8780701754385962</v>
      </c>
      <c r="J8" s="4" t="s">
        <v>70</v>
      </c>
      <c r="K8" s="4" t="s">
        <v>73</v>
      </c>
      <c r="L8" s="38"/>
    </row>
    <row r="9" spans="1:12">
      <c r="A9" s="2" t="s">
        <v>11</v>
      </c>
      <c r="B9" s="6">
        <f>52/19</f>
        <v>2.736842105263158</v>
      </c>
      <c r="C9" s="6">
        <f>57/19</f>
        <v>3</v>
      </c>
      <c r="D9" s="6">
        <f>40/19</f>
        <v>2.1052631578947367</v>
      </c>
      <c r="E9" s="6">
        <f>42/19</f>
        <v>2.2105263157894739</v>
      </c>
      <c r="F9" s="6">
        <f>49/19</f>
        <v>2.5789473684210527</v>
      </c>
      <c r="G9" s="6">
        <f>63/19</f>
        <v>3.3157894736842106</v>
      </c>
      <c r="H9" s="31">
        <f t="shared" si="0"/>
        <v>2.6578947368421053</v>
      </c>
    </row>
    <row r="10" spans="1:12">
      <c r="A10" s="2" t="s">
        <v>12</v>
      </c>
      <c r="B10" s="6">
        <f>57/19</f>
        <v>3</v>
      </c>
      <c r="C10" s="6">
        <f>64/19</f>
        <v>3.3684210526315788</v>
      </c>
      <c r="D10" s="6">
        <f>57/19</f>
        <v>3</v>
      </c>
      <c r="E10" s="6">
        <f>57/19</f>
        <v>3</v>
      </c>
      <c r="F10" s="6">
        <f>49/19</f>
        <v>2.5789473684210527</v>
      </c>
      <c r="G10" s="6">
        <f>69/19</f>
        <v>3.6315789473684212</v>
      </c>
      <c r="H10" s="31">
        <f t="shared" si="0"/>
        <v>3.096491228070176</v>
      </c>
    </row>
    <row r="11" spans="1:12">
      <c r="A11" s="2" t="s">
        <v>13</v>
      </c>
      <c r="B11" s="6">
        <f>57/19</f>
        <v>3</v>
      </c>
      <c r="C11" s="6">
        <f>55/19</f>
        <v>2.8947368421052633</v>
      </c>
      <c r="D11" s="6">
        <f>57/19</f>
        <v>3</v>
      </c>
      <c r="E11" s="6">
        <f>59/19</f>
        <v>3.1052631578947367</v>
      </c>
      <c r="F11" s="6">
        <f>76/19</f>
        <v>4</v>
      </c>
      <c r="G11" s="6">
        <f>74/19</f>
        <v>3.8947368421052633</v>
      </c>
      <c r="H11" s="31">
        <f t="shared" si="0"/>
        <v>3.3157894736842106</v>
      </c>
    </row>
    <row r="12" spans="1:12">
      <c r="A12" s="2" t="s">
        <v>14</v>
      </c>
      <c r="B12" s="6">
        <f>63/19</f>
        <v>3.3157894736842106</v>
      </c>
      <c r="C12" s="6">
        <f>74/19</f>
        <v>3.8947368421052633</v>
      </c>
      <c r="D12" s="6">
        <f>59/19</f>
        <v>3.1052631578947367</v>
      </c>
      <c r="E12" s="6">
        <f>64/19</f>
        <v>3.3684210526315788</v>
      </c>
      <c r="F12" s="6">
        <f>61/19</f>
        <v>3.2105263157894739</v>
      </c>
      <c r="G12" s="6">
        <v>3</v>
      </c>
      <c r="H12" s="31">
        <f t="shared" si="0"/>
        <v>3.3157894736842106</v>
      </c>
    </row>
    <row r="13" spans="1:12">
      <c r="A13" s="2" t="s">
        <v>15</v>
      </c>
      <c r="B13" s="6">
        <f>64/19</f>
        <v>3.3684210526315788</v>
      </c>
      <c r="C13" s="6">
        <f>79/19</f>
        <v>4.1578947368421053</v>
      </c>
      <c r="D13" s="6">
        <f>58/19</f>
        <v>3.0526315789473686</v>
      </c>
      <c r="E13" s="6">
        <f>59/19</f>
        <v>3.1052631578947367</v>
      </c>
      <c r="F13" s="6">
        <f>76/19</f>
        <v>4</v>
      </c>
      <c r="G13" s="6">
        <f>62/19</f>
        <v>3.263157894736842</v>
      </c>
      <c r="H13" s="31">
        <f t="shared" si="0"/>
        <v>3.4912280701754383</v>
      </c>
    </row>
    <row r="14" spans="1:12">
      <c r="A14" s="2" t="s">
        <v>16</v>
      </c>
      <c r="B14" s="6">
        <f>63/19</f>
        <v>3.3157894736842106</v>
      </c>
      <c r="C14" s="6">
        <f>79/19</f>
        <v>4.1578947368421053</v>
      </c>
      <c r="D14" s="6">
        <f>61/19</f>
        <v>3.2105263157894739</v>
      </c>
      <c r="E14" s="6">
        <f>59/19</f>
        <v>3.1052631578947367</v>
      </c>
      <c r="F14" s="6">
        <f>71/19</f>
        <v>3.736842105263158</v>
      </c>
      <c r="G14" s="6">
        <f>64/19</f>
        <v>3.3684210526315788</v>
      </c>
      <c r="H14" s="31">
        <f t="shared" si="0"/>
        <v>3.4824561403508771</v>
      </c>
    </row>
    <row r="15" spans="1:12">
      <c r="A15" s="2" t="s">
        <v>17</v>
      </c>
      <c r="B15" s="6">
        <f>63/19</f>
        <v>3.3157894736842106</v>
      </c>
      <c r="C15" s="6">
        <f>73/19</f>
        <v>3.8421052631578947</v>
      </c>
      <c r="D15" s="6">
        <f>71/19</f>
        <v>3.736842105263158</v>
      </c>
      <c r="E15" s="6">
        <f>61/19</f>
        <v>3.2105263157894739</v>
      </c>
      <c r="F15" s="6">
        <f>71/19</f>
        <v>3.736842105263158</v>
      </c>
      <c r="G15" s="6">
        <f>62/19</f>
        <v>3.263157894736842</v>
      </c>
      <c r="H15" s="31">
        <f t="shared" si="0"/>
        <v>3.5175438596491233</v>
      </c>
    </row>
    <row r="16" spans="1:12">
      <c r="A16" s="2" t="s">
        <v>18</v>
      </c>
      <c r="B16" s="6">
        <f>61/19</f>
        <v>3.2105263157894739</v>
      </c>
      <c r="C16" s="6">
        <f>59/19</f>
        <v>3.1052631578947367</v>
      </c>
      <c r="D16" s="6">
        <f>73/19</f>
        <v>3.8421052631578947</v>
      </c>
      <c r="E16" s="6">
        <f>67/19</f>
        <v>3.5263157894736841</v>
      </c>
      <c r="F16" s="6">
        <f>68/19</f>
        <v>3.5789473684210527</v>
      </c>
      <c r="G16" s="6">
        <f>58/19</f>
        <v>3.0526315789473686</v>
      </c>
      <c r="H16" s="31">
        <f t="shared" si="0"/>
        <v>3.3859649122807021</v>
      </c>
    </row>
    <row r="17" spans="1:8">
      <c r="A17" s="2" t="s">
        <v>19</v>
      </c>
      <c r="B17" s="6">
        <f>59/19</f>
        <v>3.1052631578947367</v>
      </c>
      <c r="C17" s="6">
        <f>58/19</f>
        <v>3.0526315789473686</v>
      </c>
      <c r="D17" s="6">
        <f>58/19</f>
        <v>3.0526315789473686</v>
      </c>
      <c r="E17" s="6">
        <f>57/19</f>
        <v>3</v>
      </c>
      <c r="F17" s="6">
        <f>55/19</f>
        <v>2.8947368421052633</v>
      </c>
      <c r="G17" s="6">
        <f>58/19</f>
        <v>3.0526315789473686</v>
      </c>
      <c r="H17" s="31">
        <f t="shared" si="0"/>
        <v>3.0263157894736845</v>
      </c>
    </row>
    <row r="18" spans="1:8">
      <c r="A18" s="2" t="s">
        <v>21</v>
      </c>
      <c r="B18" s="6">
        <f>58/19</f>
        <v>3.0526315789473686</v>
      </c>
      <c r="C18" s="6">
        <f>62/19</f>
        <v>3.263157894736842</v>
      </c>
      <c r="D18" s="6">
        <f>57/19</f>
        <v>3</v>
      </c>
      <c r="E18" s="6">
        <f>58/19</f>
        <v>3.0526315789473686</v>
      </c>
      <c r="F18" s="6">
        <f>69/19</f>
        <v>3.6315789473684212</v>
      </c>
      <c r="G18" s="6">
        <f>57/19</f>
        <v>3</v>
      </c>
      <c r="H18" s="31">
        <f t="shared" si="0"/>
        <v>3.1666666666666665</v>
      </c>
    </row>
    <row r="19" spans="1:8">
      <c r="A19" s="2" t="s">
        <v>22</v>
      </c>
      <c r="B19" s="6">
        <f>58/19</f>
        <v>3.0526315789473686</v>
      </c>
      <c r="C19" s="6">
        <f>42/19</f>
        <v>2.2105263157894739</v>
      </c>
      <c r="D19" s="6">
        <f>57/19</f>
        <v>3</v>
      </c>
      <c r="E19" s="6">
        <f>49/19</f>
        <v>2.5789473684210527</v>
      </c>
      <c r="F19" s="6">
        <f>61/19</f>
        <v>3.2105263157894739</v>
      </c>
      <c r="G19" s="6">
        <f>57/19</f>
        <v>3</v>
      </c>
      <c r="H19" s="31">
        <f t="shared" si="0"/>
        <v>2.8421052631578951</v>
      </c>
    </row>
    <row r="20" spans="1:8">
      <c r="A20" s="2" t="s">
        <v>23</v>
      </c>
      <c r="B20" s="6">
        <f>57/19</f>
        <v>3</v>
      </c>
      <c r="C20" s="6">
        <f>49/19</f>
        <v>2.5789473684210527</v>
      </c>
      <c r="D20" s="6">
        <f>39/19</f>
        <v>2.0526315789473686</v>
      </c>
      <c r="E20" s="6">
        <f>58/19</f>
        <v>3.0526315789473686</v>
      </c>
      <c r="F20" s="6">
        <f>52/19</f>
        <v>2.736842105263158</v>
      </c>
      <c r="G20" s="6">
        <f>65/19</f>
        <v>3.4210526315789473</v>
      </c>
      <c r="H20" s="31">
        <f t="shared" si="0"/>
        <v>2.807017543859649</v>
      </c>
    </row>
    <row r="21" spans="1:8">
      <c r="A21" s="2" t="s">
        <v>24</v>
      </c>
      <c r="B21" s="6">
        <f>58/19</f>
        <v>3.0526315789473686</v>
      </c>
      <c r="C21" s="6">
        <f>59/19</f>
        <v>3.1052631578947367</v>
      </c>
      <c r="D21" s="6">
        <f>49/19</f>
        <v>2.5789473684210527</v>
      </c>
      <c r="E21" s="6">
        <f>52/19</f>
        <v>2.736842105263158</v>
      </c>
      <c r="F21" s="6">
        <f>59/19</f>
        <v>3.1052631578947367</v>
      </c>
      <c r="G21" s="6">
        <v>2.8</v>
      </c>
      <c r="H21" s="31">
        <f t="shared" si="0"/>
        <v>2.8964912280701753</v>
      </c>
    </row>
    <row r="22" spans="1:8">
      <c r="A22" s="2" t="s">
        <v>25</v>
      </c>
      <c r="B22" s="6">
        <f>74/19</f>
        <v>3.8947368421052633</v>
      </c>
      <c r="C22" s="6">
        <f>59/19</f>
        <v>3.1052631578947367</v>
      </c>
      <c r="D22" s="6">
        <f>71/19</f>
        <v>3.736842105263158</v>
      </c>
      <c r="E22" s="6">
        <f>63/19</f>
        <v>3.3157894736842106</v>
      </c>
      <c r="F22" s="6">
        <f>71/19</f>
        <v>3.736842105263158</v>
      </c>
      <c r="G22" s="6">
        <f>75/19</f>
        <v>3.9473684210526314</v>
      </c>
      <c r="H22" s="31">
        <f t="shared" si="0"/>
        <v>3.6228070175438596</v>
      </c>
    </row>
    <row r="23" spans="1:8">
      <c r="A23" s="2" t="s">
        <v>26</v>
      </c>
      <c r="B23" s="6">
        <f>58/19</f>
        <v>3.0526315789473686</v>
      </c>
      <c r="C23" s="6">
        <f>49/19</f>
        <v>2.5789473684210527</v>
      </c>
      <c r="D23" s="6">
        <f>39/19</f>
        <v>2.0526315789473686</v>
      </c>
      <c r="E23" s="6">
        <f>57/19</f>
        <v>3</v>
      </c>
      <c r="F23" s="6">
        <f>57/19</f>
        <v>3</v>
      </c>
      <c r="G23" s="6">
        <f>53/19</f>
        <v>2.7894736842105261</v>
      </c>
      <c r="H23" s="31">
        <f t="shared" si="0"/>
        <v>2.7456140350877192</v>
      </c>
    </row>
    <row r="24" spans="1:8">
      <c r="A24" s="1" t="s">
        <v>20</v>
      </c>
      <c r="B24" s="1"/>
      <c r="C24" s="1"/>
      <c r="D24" s="1"/>
      <c r="E24" s="1"/>
      <c r="F24" s="1"/>
      <c r="G24" s="1"/>
      <c r="H24" s="33">
        <f t="shared" si="0"/>
        <v>0</v>
      </c>
    </row>
    <row r="25" spans="1:8">
      <c r="A25" s="32" t="s">
        <v>65</v>
      </c>
      <c r="B25" s="1"/>
      <c r="C25" s="1"/>
      <c r="D25" s="1"/>
      <c r="E25" s="1"/>
      <c r="F25" s="1"/>
      <c r="G25" s="1"/>
      <c r="H25" s="33">
        <f t="shared" si="0"/>
        <v>0</v>
      </c>
    </row>
    <row r="26" spans="1:8">
      <c r="A26" s="32" t="s">
        <v>77</v>
      </c>
      <c r="B26" s="1"/>
      <c r="C26" s="1"/>
      <c r="D26" s="1"/>
      <c r="E26" s="1"/>
      <c r="F26" s="1"/>
      <c r="G26" s="1"/>
      <c r="H26" s="33">
        <f t="shared" ref="H26" si="1">SUM(B26:G26)/6</f>
        <v>0</v>
      </c>
    </row>
  </sheetData>
  <autoFilter ref="A2:H25" xr:uid="{D353AF35-80A1-44E3-9637-A95C90B758E6}"/>
  <mergeCells count="2">
    <mergeCell ref="A1:H1"/>
    <mergeCell ref="J3:L3"/>
  </mergeCells>
  <conditionalFormatting sqref="H3:H26">
    <cfRule type="cellIs" dxfId="5" priority="1" operator="greaterThan">
      <formula>3.5</formula>
    </cfRule>
    <cfRule type="cellIs" dxfId="4" priority="2" operator="greaterThan">
      <formula>2.5</formula>
    </cfRule>
    <cfRule type="cellIs" dxfId="3" priority="3" operator="greaterThan">
      <formula>1.5</formula>
    </cfRule>
    <cfRule type="cellIs" dxfId="2" priority="4" operator="lessThan">
      <formula>1.5</formula>
    </cfRule>
    <cfRule type="cellIs" dxfId="1" priority="5" operator="greaterThan">
      <formula>4.5</formula>
    </cfRule>
  </conditionalFormatting>
  <pageMargins left="0.7" right="0.7" top="0.75" bottom="0.75" header="0.3" footer="0.3"/>
  <ignoredErrors>
    <ignoredError sqref="C10:C11 E15 E12:F12 F8 E9 B13 B20 B22 E19 E22 D3 D5 E4 G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FORMATO DE EVALUACION</vt:lpstr>
      <vt:lpstr>Compromisos</vt:lpstr>
      <vt:lpstr>Bajas</vt:lpstr>
      <vt:lpstr>Ausentismos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Centro Control</dc:creator>
  <cp:lastModifiedBy>Francisco Ramirez</cp:lastModifiedBy>
  <cp:lastPrinted>2026-05-22T00:14:36Z</cp:lastPrinted>
  <dcterms:created xsi:type="dcterms:W3CDTF">2026-05-21T20:50:25Z</dcterms:created>
  <dcterms:modified xsi:type="dcterms:W3CDTF">2026-05-25T17:58:34Z</dcterms:modified>
</cp:coreProperties>
</file>